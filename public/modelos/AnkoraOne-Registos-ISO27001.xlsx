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Declaração de Aplicabilidade" sheetId="2" state="visible" r:id="rId4"/>
    <sheet name="Riscos" sheetId="3" state="visible" r:id="rId5"/>
    <sheet name="Informação documentada" sheetId="4" state="visible" r:id="rId6"/>
  </sheets>
  <definedNames>
    <definedName function="false" hidden="true" localSheetId="1" name="_xlnm._FilterDatabase" vbProcedure="false">'Declaração de Aplicabilidade'!$A$1:$K$94</definedName>
    <definedName function="false" hidden="true" localSheetId="3" name="_xlnm._FilterDatabase" vbProcedure="false">'Informação documentada'!$A$1:$E$15</definedName>
    <definedName function="false" hidden="true" localSheetId="2" name="_xlnm._FilterDatabase" vbProcedure="false">Riscos!$A$2:$L$3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<sst xmlns="http://schemas.openxmlformats.org/spreadsheetml/2006/main" count="632" uniqueCount="534">
  <si>
    <t xml:space="preserve">Registos ISO/IEC 27001:2022</t>
  </si>
  <si>
    <t xml:space="preserve">AnkoraOne · Versão 1.0 · outubro de 2026</t>
  </si>
  <si>
    <t xml:space="preserve">Como preencher</t>
  </si>
  <si>
    <t xml:space="preserve">• Declaração de Aplicabilidade: um controlo por linha do Anexo A. Indique se é aplicável, a justificação (inclusão ou exclusão), se está implementado e o método.</t>
  </si>
  <si>
    <t xml:space="preserve">• Títulos e descrições são redação da AnkoraOne; a norma não é reproduzida. Para certificação use o texto oficial.</t>
  </si>
  <si>
    <t xml:space="preserve">• Riscos: registo de apoio à avaliação e ao tratamento de riscos (cláusulas 6.1.2, 6.1.3, 8.2 e 8.3).</t>
  </si>
  <si>
    <t xml:space="preserve">• Células com fundo amarelo-claro: a preencher pela entidade. As restantes vêm da Biblioteca Legal e não devem ser alteradas.</t>
  </si>
  <si>
    <t xml:space="preserve">Fontes</t>
  </si>
  <si>
    <t xml:space="preserve">ISO/IEC 27001:2022 — guia AnkoraOne</t>
  </si>
  <si>
    <t xml:space="preserve">ISO/IEC 27001:2022 (EN ISO/IEC 27001:2023) e emenda 1:2024 (alterações climáticas)</t>
  </si>
  <si>
    <t xml:space="preserve">A norma é protegida por direitos de autor e não está incluída. Para certificação, a entidade deve usar o texto oficial e uma entidade certificadora acreditada.</t>
  </si>
  <si>
    <t xml:space="preserve">Controlo</t>
  </si>
  <si>
    <t xml:space="preserve">Tema</t>
  </si>
  <si>
    <t xml:space="preserve">Título (guia AnkoraOne)</t>
  </si>
  <si>
    <t xml:space="preserve">Descrição (guia AnkoraOne)</t>
  </si>
  <si>
    <t xml:space="preserve">Evidência sugerida</t>
  </si>
  <si>
    <t xml:space="preserve">Controlos QNRCS relacionados</t>
  </si>
  <si>
    <t xml:space="preserve">Aplicável (sim/não)</t>
  </si>
  <si>
    <t xml:space="preserve">Justificação</t>
  </si>
  <si>
    <t xml:space="preserve">Implementado (sim/parcial/não)</t>
  </si>
  <si>
    <t xml:space="preserve">Método de implementação</t>
  </si>
  <si>
    <t xml:space="preserve">Documento / evidência</t>
  </si>
  <si>
    <t xml:space="preserve">A.5.1</t>
  </si>
  <si>
    <t xml:space="preserve">Controlos organizacionais</t>
  </si>
  <si>
    <t xml:space="preserve">Políticas de segurança da informação</t>
  </si>
  <si>
    <t xml:space="preserve">Política geral e políticas temáticas aprovadas, comunicadas e revistas.</t>
  </si>
  <si>
    <t xml:space="preserve">Políticas aprovadas, data de revisão e registo de divulgação.</t>
  </si>
  <si>
    <t xml:space="preserve">GR.CO-1, GR.PP-1, PR.SD-5</t>
  </si>
  <si>
    <t xml:space="preserve">A.5.2</t>
  </si>
  <si>
    <t xml:space="preserve">Funções e responsabilidades</t>
  </si>
  <si>
    <t xml:space="preserve">Responsabilidades de segurança definidas e atribuídas.</t>
  </si>
  <si>
    <t xml:space="preserve">Matriz de responsabilidades (RACI) e nomeações.</t>
  </si>
  <si>
    <t xml:space="preserve">GR.CA-2, GR.FR-1, GR.FR-3, PR.FC-2</t>
  </si>
  <si>
    <t xml:space="preserve">A.5.3</t>
  </si>
  <si>
    <t xml:space="preserve">Segregação de funções</t>
  </si>
  <si>
    <t xml:space="preserve">Funções incompatíveis separadas para reduzir erro e fraude.</t>
  </si>
  <si>
    <t xml:space="preserve">Matriz de incompatibilidades e revisão de perfis.</t>
  </si>
  <si>
    <t xml:space="preserve">PR.GA-5, PR.SD-3</t>
  </si>
  <si>
    <t xml:space="preserve">A.5.4</t>
  </si>
  <si>
    <t xml:space="preserve">Responsabilidades da gestão</t>
  </si>
  <si>
    <t xml:space="preserve">A gestão exige que todos cumpram as políticas e procedimentos.</t>
  </si>
  <si>
    <t xml:space="preserve">Comunicações da gestão e cláusulas de cumprimento.</t>
  </si>
  <si>
    <t xml:space="preserve">GR.CA-2, GR.FR-1, GR.FR-3, GR.FR-4</t>
  </si>
  <si>
    <t xml:space="preserve">A.5.5</t>
  </si>
  <si>
    <t xml:space="preserve">Contacto com autoridades</t>
  </si>
  <si>
    <t xml:space="preserve">Contactos com autoridades (por exemplo CNCS, CNPD, PJ) definidos e mantidos.</t>
  </si>
  <si>
    <t xml:space="preserve">Lista de contactos de autoridades atualizada.</t>
  </si>
  <si>
    <t xml:space="preserve">GR.CO-3, GR.CO-4, GR.CO-5, GR.FR-3, GR.FR-4, GR.PP-1, GR.PP-2, GR.PP-3, ID.AR-2, ID.AR-5, ID.GA-3, PR.RI-3, RC.CO-2, RS.NC-1, RS.NC-2</t>
  </si>
  <si>
    <t xml:space="preserve">A.5.6</t>
  </si>
  <si>
    <t xml:space="preserve">Contacto com grupos de interesse especial</t>
  </si>
  <si>
    <t xml:space="preserve">Participação em fóruns e associações de segurança.</t>
  </si>
  <si>
    <t xml:space="preserve">Registo de participação em grupos e fontes de informação.</t>
  </si>
  <si>
    <t xml:space="preserve">ID.AR-2, RC.CO-1, RC.CO-2, RS.GI-4, RS.NC-2</t>
  </si>
  <si>
    <t xml:space="preserve">A.5.7</t>
  </si>
  <si>
    <t xml:space="preserve">Informação sobre ameaças</t>
  </si>
  <si>
    <t xml:space="preserve">Recolher e analisar informação sobre ameaças relevantes.</t>
  </si>
  <si>
    <t xml:space="preserve">Fontes de ameaças subscritas e relatórios de análise.</t>
  </si>
  <si>
    <t xml:space="preserve">DE.AE-1, DE.AE-2, DE.AE-3, DE.MC-1, DE.MC-2, DE.MC-3, DE.MC-5, DE.MC-6, ID.AR-2, ID.AR-7, RS.AI-4</t>
  </si>
  <si>
    <t xml:space="preserve">A.5.8</t>
  </si>
  <si>
    <t xml:space="preserve">Segurança na gestão de projetos</t>
  </si>
  <si>
    <t xml:space="preserve">Requisitos de segurança integrados em todos os projetos.</t>
  </si>
  <si>
    <t xml:space="preserve">Modelo de projeto com avaliação de segurança.</t>
  </si>
  <si>
    <t xml:space="preserve">GR.GR-2, GR.PP-1, PR.SP-4</t>
  </si>
  <si>
    <t xml:space="preserve">A.5.9</t>
  </si>
  <si>
    <t xml:space="preserve">Inventário de informação e ativos</t>
  </si>
  <si>
    <t xml:space="preserve">Inventário de informação e ativos associados, com responsável.</t>
  </si>
  <si>
    <t xml:space="preserve">Inventário de ativos atualizado com donos e classificação.</t>
  </si>
  <si>
    <t xml:space="preserve">ID.GA-1, ID.GA-2, ID.GA-3, ID.GA-4, ID.GA-5</t>
  </si>
  <si>
    <t xml:space="preserve">A.5.10</t>
  </si>
  <si>
    <t xml:space="preserve">Utilização aceitável</t>
  </si>
  <si>
    <t xml:space="preserve">Regras de utilização aceitável da informação e dos ativos.</t>
  </si>
  <si>
    <t xml:space="preserve">Política de utilização aceitável assinada pelos colaboradores.</t>
  </si>
  <si>
    <t xml:space="preserve">ID.GA-7, ID.GA-8, PR.SD-1, PR.SD-2, PR.SD-3</t>
  </si>
  <si>
    <t xml:space="preserve">A.5.11</t>
  </si>
  <si>
    <t xml:space="preserve">Devolução de ativos</t>
  </si>
  <si>
    <t xml:space="preserve">Ativos devolvidos no fim do vínculo ou do contrato.</t>
  </si>
  <si>
    <t xml:space="preserve">Registos de devolução na saída de colaboradores.</t>
  </si>
  <si>
    <t xml:space="preserve">GR.FR-4, ID.GA-7</t>
  </si>
  <si>
    <t xml:space="preserve">A.5.12</t>
  </si>
  <si>
    <t xml:space="preserve">Classificação da informação</t>
  </si>
  <si>
    <t xml:space="preserve">Informação classificada pela confidencialidade, integridade, disponibilidade e requisitos das partes interessadas.</t>
  </si>
  <si>
    <t xml:space="preserve">Esquema de classificação e exemplos aplicados.</t>
  </si>
  <si>
    <t xml:space="preserve">GR.CA-2, GR.FR-1, ID.AR-2, ID.GA-4, ID.GA-5</t>
  </si>
  <si>
    <t xml:space="preserve">A.5.13</t>
  </si>
  <si>
    <t xml:space="preserve">Rotulagem da informação</t>
  </si>
  <si>
    <t xml:space="preserve">Procedimentos para rotular a informação segundo a classificação.</t>
  </si>
  <si>
    <t xml:space="preserve">Procedimento de rotulagem e amostras.</t>
  </si>
  <si>
    <t xml:space="preserve">ID.AR-2, PR.SD-3</t>
  </si>
  <si>
    <t xml:space="preserve">A.5.14</t>
  </si>
  <si>
    <t xml:space="preserve">Transferência de informação</t>
  </si>
  <si>
    <t xml:space="preserve">Regras e acordos para transferir informação, interna e externamente.</t>
  </si>
  <si>
    <t xml:space="preserve">Política de transferência e acordos com terceiros.</t>
  </si>
  <si>
    <t xml:space="preserve">PR.GA-7, PR.RI-1, PR.SD-2, PR.SD-3</t>
  </si>
  <si>
    <t xml:space="preserve">A.5.15</t>
  </si>
  <si>
    <t xml:space="preserve">Controlo de acessos</t>
  </si>
  <si>
    <t xml:space="preserve">Regras de acesso físico e lógico com base nos requisitos de negócio e de segurança.</t>
  </si>
  <si>
    <t xml:space="preserve">Política de controlo de acessos.</t>
  </si>
  <si>
    <t xml:space="preserve">PR.GA-2, PR.GA-5, PR.SD-3</t>
  </si>
  <si>
    <t xml:space="preserve">A.5.16</t>
  </si>
  <si>
    <t xml:space="preserve">Gestão de identidades</t>
  </si>
  <si>
    <t xml:space="preserve">Ciclo de vida completo das identidades.</t>
  </si>
  <si>
    <t xml:space="preserve">Procedimento de criação, alteração e remoção de contas.</t>
  </si>
  <si>
    <t xml:space="preserve">PR.GA-1, PR.GA-3</t>
  </si>
  <si>
    <t xml:space="preserve">A.5.17</t>
  </si>
  <si>
    <t xml:space="preserve">Informação de autenticação</t>
  </si>
  <si>
    <t xml:space="preserve">Atribuição e gestão controladas de credenciais.</t>
  </si>
  <si>
    <t xml:space="preserve">Política de palavras-passe e de autenticação multifator.</t>
  </si>
  <si>
    <t xml:space="preserve">A.5.18</t>
  </si>
  <si>
    <t xml:space="preserve">Direitos de acesso</t>
  </si>
  <si>
    <t xml:space="preserve">Atribuição, revisão periódica e remoção de direitos de acesso.</t>
  </si>
  <si>
    <t xml:space="preserve">Revisões de acessos datadas e assinadas.</t>
  </si>
  <si>
    <t xml:space="preserve">PR.GA-1</t>
  </si>
  <si>
    <t xml:space="preserve">A.5.19</t>
  </si>
  <si>
    <t xml:space="preserve">Segurança nas relações com fornecedores</t>
  </si>
  <si>
    <t xml:space="preserve">Processos para gerir os riscos dos produtos e serviços de fornecedores.</t>
  </si>
  <si>
    <t xml:space="preserve">Política de fornecedores e avaliação de risco por fornecedor.</t>
  </si>
  <si>
    <t xml:space="preserve">GR.CA-1, GR.CA-7, GR.CO-6, ID.GA-7</t>
  </si>
  <si>
    <t xml:space="preserve">A.5.20</t>
  </si>
  <si>
    <t xml:space="preserve">Segurança nos acordos com fornecedores</t>
  </si>
  <si>
    <t xml:space="preserve">Requisitos de segurança acordados com cada fornecedor.</t>
  </si>
  <si>
    <t xml:space="preserve">Contratos e anexos de segurança assinados.</t>
  </si>
  <si>
    <t xml:space="preserve">GR.CA-1, GR.CA-2, GR.CA-4, GR.CA-5, GR.CO-6, GR.PP-2, GR.PP-3, ID.AR-2, PR.SD-5</t>
  </si>
  <si>
    <t xml:space="preserve">A.5.21</t>
  </si>
  <si>
    <t xml:space="preserve">Cadeia de abastecimento das TIC</t>
  </si>
  <si>
    <t xml:space="preserve">Gestão dos riscos da cadeia de abastecimento de produtos e serviços TIC.</t>
  </si>
  <si>
    <t xml:space="preserve">Avaliação da cadeia de abastecimento TIC.</t>
  </si>
  <si>
    <t xml:space="preserve">DE.MC-5, GR.CA-1, GR.CA-7, GR.CO-6, ID.AR-2</t>
  </si>
  <si>
    <t xml:space="preserve">A.5.22</t>
  </si>
  <si>
    <t xml:space="preserve">Monitorização dos serviços de fornecedores</t>
  </si>
  <si>
    <t xml:space="preserve">Acompanhar, rever e gerir alterações nos serviços de fornecedores.</t>
  </si>
  <si>
    <t xml:space="preserve">Relatórios de níveis de serviço e reuniões de acompanhamento.</t>
  </si>
  <si>
    <t xml:space="preserve">DE.MC-1, DE.MC-2, DE.MC-6, GR.CA-1, GR.CA-2, GR.CA-4, GR.CA-7</t>
  </si>
  <si>
    <t xml:space="preserve">A.5.23</t>
  </si>
  <si>
    <t xml:space="preserve">Serviços de nuvem</t>
  </si>
  <si>
    <t xml:space="preserve">Processos para adquirir, usar, gerir e sair de serviços de nuvem.</t>
  </si>
  <si>
    <t xml:space="preserve">Política de nuvem e avaliação dos prestadores.</t>
  </si>
  <si>
    <t xml:space="preserve">PR.SD-5</t>
  </si>
  <si>
    <t xml:space="preserve">A.5.24</t>
  </si>
  <si>
    <t xml:space="preserve">Planeamento da gestão de incidentes</t>
  </si>
  <si>
    <t xml:space="preserve">Processos, funções e responsabilidades de gestão de incidentes definidos.</t>
  </si>
  <si>
    <t xml:space="preserve">Plano de resposta a incidentes aprovado.</t>
  </si>
  <si>
    <t xml:space="preserve">DE.AE-1, DE.AE-2, GR.PP-2, RS.NC-1</t>
  </si>
  <si>
    <t xml:space="preserve">A.5.25</t>
  </si>
  <si>
    <t xml:space="preserve">Avaliação de eventos de segurança</t>
  </si>
  <si>
    <t xml:space="preserve">Avaliar eventos e decidir se são incidentes.</t>
  </si>
  <si>
    <t xml:space="preserve">Critérios de classificação e registo de triagem.</t>
  </si>
  <si>
    <t xml:space="preserve">DE.AE-1, DE.AE-2, DE.AE-3, DE.AE-6, RS.AI-4, RS.GI-3</t>
  </si>
  <si>
    <t xml:space="preserve">A.5.26</t>
  </si>
  <si>
    <t xml:space="preserve">Resposta a incidentes</t>
  </si>
  <si>
    <t xml:space="preserve">Responder aos incidentes segundo os procedimentos.</t>
  </si>
  <si>
    <t xml:space="preserve">Registos de incidentes e ações tomadas.</t>
  </si>
  <si>
    <t xml:space="preserve">GR.CA-8, ID.MC-2, RS.AI-1, RS.GI-1, RS.GI-2, RS.GI-4, RS.MI-1, RS.MI-2, RS.NC-2</t>
  </si>
  <si>
    <t xml:space="preserve">A.5.27</t>
  </si>
  <si>
    <t xml:space="preserve">Aprendizagem com os incidentes</t>
  </si>
  <si>
    <t xml:space="preserve">Usar o conhecimento dos incidentes para reforçar os controlos.</t>
  </si>
  <si>
    <t xml:space="preserve">Relatórios pós-incidente com lições aprendidas.</t>
  </si>
  <si>
    <t xml:space="preserve">ID.AR-5, ID.MC-1, ID.MC-3, RS.AI-4</t>
  </si>
  <si>
    <t xml:space="preserve">A.5.28</t>
  </si>
  <si>
    <t xml:space="preserve">Recolha de evidências</t>
  </si>
  <si>
    <t xml:space="preserve">Procedimentos para identificar, recolher e preservar evidências.</t>
  </si>
  <si>
    <t xml:space="preserve">Procedimento forense e cadeia de custódia.</t>
  </si>
  <si>
    <t xml:space="preserve">DE.AE-2, RS.AI-1</t>
  </si>
  <si>
    <t xml:space="preserve">A.5.29</t>
  </si>
  <si>
    <t xml:space="preserve">Segurança durante disrupções</t>
  </si>
  <si>
    <t xml:space="preserve">Manter a segurança da informação em situações de disrupção.</t>
  </si>
  <si>
    <t xml:space="preserve">Plano de continuidade com requisitos de segurança.</t>
  </si>
  <si>
    <t xml:space="preserve">GR.CA-8, GR.CO-5, GR.PP-2, GR.PP-3, ID.MC-2, PR.RI-4, PR.SD-5, RS.AI-4</t>
  </si>
  <si>
    <t xml:space="preserve">A.5.30</t>
  </si>
  <si>
    <t xml:space="preserve">Prontidão das TIC para a continuidade</t>
  </si>
  <si>
    <t xml:space="preserve">Planear, testar e manter a continuidade das TIC.</t>
  </si>
  <si>
    <t xml:space="preserve">Plano de recuperação de desastres e resultados de testes.</t>
  </si>
  <si>
    <t xml:space="preserve">RS.AI-4</t>
  </si>
  <si>
    <t xml:space="preserve">A.5.31</t>
  </si>
  <si>
    <t xml:space="preserve">Requisitos legais e contratuais</t>
  </si>
  <si>
    <t xml:space="preserve">Identificar e cumprir os requisitos legais, regulamentares e contratuais.</t>
  </si>
  <si>
    <t xml:space="preserve">Registo de requisitos legais (por exemplo RJC, RGPD) atualizado.</t>
  </si>
  <si>
    <t xml:space="preserve">GR.CO-3</t>
  </si>
  <si>
    <t xml:space="preserve">A.5.32</t>
  </si>
  <si>
    <t xml:space="preserve">Propriedade intelectual</t>
  </si>
  <si>
    <t xml:space="preserve">Proteger os direitos de propriedade intelectual.</t>
  </si>
  <si>
    <t xml:space="preserve">Inventário de licenças de software.</t>
  </si>
  <si>
    <t xml:space="preserve">GR.CO-3, PR.SD-5</t>
  </si>
  <si>
    <t xml:space="preserve">A.5.33</t>
  </si>
  <si>
    <t xml:space="preserve">Proteção de registos</t>
  </si>
  <si>
    <t xml:space="preserve">Proteger os registos contra perda, destruição, falsificação e acesso indevido.</t>
  </si>
  <si>
    <t xml:space="preserve">Política de retenção e proteção de registos.</t>
  </si>
  <si>
    <t xml:space="preserve">A.5.34</t>
  </si>
  <si>
    <t xml:space="preserve">Privacidade e dados pessoais</t>
  </si>
  <si>
    <t xml:space="preserve">Cumprir os requisitos de proteção de dados pessoais.</t>
  </si>
  <si>
    <t xml:space="preserve">Registo de atividades de tratamento e avaliações de impacto.</t>
  </si>
  <si>
    <t xml:space="preserve">GR.CO-3, PR.GA-3</t>
  </si>
  <si>
    <t xml:space="preserve">A.5.35</t>
  </si>
  <si>
    <t xml:space="preserve">Revisão independente</t>
  </si>
  <si>
    <t xml:space="preserve">Revisão independente da abordagem à segurança em intervalos planeados.</t>
  </si>
  <si>
    <t xml:space="preserve">Relatórios de auditoria independente.</t>
  </si>
  <si>
    <t xml:space="preserve">GR.CA-5, GR.CO-3</t>
  </si>
  <si>
    <t xml:space="preserve">A.5.36</t>
  </si>
  <si>
    <t xml:space="preserve">Conformidade com políticas e normas</t>
  </si>
  <si>
    <t xml:space="preserve">Verificar regularmente o cumprimento das políticas e normas.</t>
  </si>
  <si>
    <t xml:space="preserve">Relatórios de verificação de conformidade.</t>
  </si>
  <si>
    <t xml:space="preserve">ID.AR-1, ID.AR-4, RS.NC-1</t>
  </si>
  <si>
    <t xml:space="preserve">A.5.37</t>
  </si>
  <si>
    <t xml:space="preserve">Procedimentos operacionais documentados</t>
  </si>
  <si>
    <t xml:space="preserve">Procedimentos de operação documentados e disponíveis.</t>
  </si>
  <si>
    <t xml:space="preserve">Manual de procedimentos operacionais.</t>
  </si>
  <si>
    <t xml:space="preserve">ID.AR-7, ID.GA-7, PR.RI-1, PR.SD-5, PR.SP-2, RS.MI-1, RS.NC-1</t>
  </si>
  <si>
    <t xml:space="preserve">A.6.1</t>
  </si>
  <si>
    <t xml:space="preserve">Controlos de pessoas</t>
  </si>
  <si>
    <t xml:space="preserve">Verificação de antecedentes</t>
  </si>
  <si>
    <t xml:space="preserve">Verificar os candidatos antes da contratação, de forma proporcional ao risco.</t>
  </si>
  <si>
    <t xml:space="preserve">Procedimento de verificação e registos por contratação.</t>
  </si>
  <si>
    <t xml:space="preserve">GR.FR-4, PR.SD-3</t>
  </si>
  <si>
    <t xml:space="preserve">A.6.2</t>
  </si>
  <si>
    <t xml:space="preserve">Termos e condições de emprego</t>
  </si>
  <si>
    <t xml:space="preserve">Responsabilidades de segurança nos contratos de trabalho.</t>
  </si>
  <si>
    <t xml:space="preserve">Cláusulas de segurança nos contratos.</t>
  </si>
  <si>
    <t xml:space="preserve">A.6.3</t>
  </si>
  <si>
    <t xml:space="preserve">Sensibilização e formação</t>
  </si>
  <si>
    <t xml:space="preserve">Sensibilização, educação e formação regulares em segurança.</t>
  </si>
  <si>
    <t xml:space="preserve">Plano de formação, presenças e resultados.</t>
  </si>
  <si>
    <t xml:space="preserve">GR.CA-2, GR.FR-1, GR.FR-4, PR.FC-1, PR.FC-2, RS.NC-1</t>
  </si>
  <si>
    <t xml:space="preserve">A.6.4</t>
  </si>
  <si>
    <t xml:space="preserve">Processo disciplinar</t>
  </si>
  <si>
    <t xml:space="preserve">Processo disciplinar formal para violações de segurança.</t>
  </si>
  <si>
    <t xml:space="preserve">Regulamento disciplinar com referência à segurança.</t>
  </si>
  <si>
    <t xml:space="preserve">GR.FR-4</t>
  </si>
  <si>
    <t xml:space="preserve">A.6.5</t>
  </si>
  <si>
    <t xml:space="preserve">Responsabilidades após a saída</t>
  </si>
  <si>
    <t xml:space="preserve">Deveres de segurança que se mantêm após cessação ou mudança de funções.</t>
  </si>
  <si>
    <t xml:space="preserve">Declarações de saída e acordos pós-contratuais.</t>
  </si>
  <si>
    <t xml:space="preserve">A.6.6</t>
  </si>
  <si>
    <t xml:space="preserve">Acordos de confidencialidade</t>
  </si>
  <si>
    <t xml:space="preserve">Acordos de confidencialidade identificados, assinados e revistos.</t>
  </si>
  <si>
    <t xml:space="preserve">Acordos de confidencialidade assinados.</t>
  </si>
  <si>
    <t xml:space="preserve">A.6.7</t>
  </si>
  <si>
    <t xml:space="preserve">Trabalho remoto</t>
  </si>
  <si>
    <t xml:space="preserve">Medidas de segurança para o trabalho fora das instalações.</t>
  </si>
  <si>
    <t xml:space="preserve">Política de teletrabalho e configuração dos acessos remotos.</t>
  </si>
  <si>
    <t xml:space="preserve">GR.FR-4, PR.GA-7, PR.SD-5, RS.NC-1</t>
  </si>
  <si>
    <t xml:space="preserve">A.6.8</t>
  </si>
  <si>
    <t xml:space="preserve">Comunicação de eventos de segurança</t>
  </si>
  <si>
    <t xml:space="preserve">Canal para o pessoal comunicar eventos de segurança.</t>
  </si>
  <si>
    <t xml:space="preserve">Canal de reporte e registos de comunicações.</t>
  </si>
  <si>
    <t xml:space="preserve">DE.AE-4, ID.AR-4, ID.AR-5, RS.NC-1</t>
  </si>
  <si>
    <t xml:space="preserve">A.7.1</t>
  </si>
  <si>
    <t xml:space="preserve">Controlos físicos</t>
  </si>
  <si>
    <t xml:space="preserve">Perímetros de segurança física</t>
  </si>
  <si>
    <t xml:space="preserve">Perímetros definidos para proteger áreas com informação e ativos.</t>
  </si>
  <si>
    <t xml:space="preserve">Planta das áreas seguras.</t>
  </si>
  <si>
    <t xml:space="preserve">DE.MC-2, ID.GA-1, PR.GA-6</t>
  </si>
  <si>
    <t xml:space="preserve">A.7.2</t>
  </si>
  <si>
    <t xml:space="preserve">Controlo de entradas</t>
  </si>
  <si>
    <t xml:space="preserve">Entradas nas áreas seguras controladas.</t>
  </si>
  <si>
    <t xml:space="preserve">Registos de acessos físicos e lista de autorizados.</t>
  </si>
  <si>
    <t xml:space="preserve">DE.MC-2, ID.GA-7, PR.GA-6, PR.RI-3</t>
  </si>
  <si>
    <t xml:space="preserve">A.7.3</t>
  </si>
  <si>
    <t xml:space="preserve">Segurança de escritórios e instalações</t>
  </si>
  <si>
    <t xml:space="preserve">Segurança física de escritórios, salas e instalações.</t>
  </si>
  <si>
    <t xml:space="preserve">Avaliação de segurança das instalações.</t>
  </si>
  <si>
    <t xml:space="preserve">PR.GA-6</t>
  </si>
  <si>
    <t xml:space="preserve">A.7.4</t>
  </si>
  <si>
    <t xml:space="preserve">Monitorização física</t>
  </si>
  <si>
    <t xml:space="preserve">Monitorização contínua das instalações contra acessos não autorizados.</t>
  </si>
  <si>
    <t xml:space="preserve">Sistema de videovigilância ou alarmes e registos.</t>
  </si>
  <si>
    <t xml:space="preserve">DE.MC-2, PR.GA-6</t>
  </si>
  <si>
    <t xml:space="preserve">A.7.5</t>
  </si>
  <si>
    <t xml:space="preserve">Ameaças físicas e ambientais</t>
  </si>
  <si>
    <t xml:space="preserve">Proteção contra incêndio, inundação, sismos e outras ameaças.</t>
  </si>
  <si>
    <t xml:space="preserve">Medidas de proteção e manutenção dos sistemas.</t>
  </si>
  <si>
    <t xml:space="preserve">DE.MC-2, GR.CO-5, PR.GA-6, PR.RI-3, PR.RI-4, PR.SD-3</t>
  </si>
  <si>
    <t xml:space="preserve">A.7.6</t>
  </si>
  <si>
    <t xml:space="preserve">Trabalho em áreas seguras</t>
  </si>
  <si>
    <t xml:space="preserve">Regras para trabalhar em áreas seguras.</t>
  </si>
  <si>
    <t xml:space="preserve">Procedimento de áreas seguras.</t>
  </si>
  <si>
    <t xml:space="preserve">PR.GA-6, PR.RI-3, PR.SD-3</t>
  </si>
  <si>
    <t xml:space="preserve">A.7.7</t>
  </si>
  <si>
    <t xml:space="preserve">Secretária limpa e ecrã limpo</t>
  </si>
  <si>
    <t xml:space="preserve">Regras de secretária limpa e de bloqueio de ecrã.</t>
  </si>
  <si>
    <t xml:space="preserve">Política de secretária e ecrã limpos e configuração de bloqueio automático.</t>
  </si>
  <si>
    <t xml:space="preserve">A.7.8</t>
  </si>
  <si>
    <t xml:space="preserve">Localização e proteção de equipamentos</t>
  </si>
  <si>
    <t xml:space="preserve">Equipamentos colocados e protegidos de forma segura.</t>
  </si>
  <si>
    <t xml:space="preserve">Inventário de localização e medidas de proteção.</t>
  </si>
  <si>
    <t xml:space="preserve">A.7.9</t>
  </si>
  <si>
    <t xml:space="preserve">Ativos fora das instalações</t>
  </si>
  <si>
    <t xml:space="preserve">Proteção dos ativos usados fora das instalações.</t>
  </si>
  <si>
    <t xml:space="preserve">Política de equipamentos portáteis e cifra de discos.</t>
  </si>
  <si>
    <t xml:space="preserve">ID.GA-7, PR.GA-6, PR.GA-7</t>
  </si>
  <si>
    <t xml:space="preserve">A.7.10</t>
  </si>
  <si>
    <t xml:space="preserve">Suportes de armazenamento</t>
  </si>
  <si>
    <t xml:space="preserve">Gestão do ciclo de vida dos suportes de armazenamento.</t>
  </si>
  <si>
    <t xml:space="preserve">Procedimento de gestão de suportes amovíveis.</t>
  </si>
  <si>
    <t xml:space="preserve">DE.MC-2, ID.GA-7, ID.GA-8</t>
  </si>
  <si>
    <t xml:space="preserve">A.7.11</t>
  </si>
  <si>
    <t xml:space="preserve">Serviços de suporte</t>
  </si>
  <si>
    <t xml:space="preserve">Proteção contra falhas de energia e outros serviços de suporte.</t>
  </si>
  <si>
    <t xml:space="preserve">UPS, geradores e registos de manutenção.</t>
  </si>
  <si>
    <t xml:space="preserve">DE.MC-2, GR.CO-4, GR.CO-5, PR.GA-6, PR.RI-3</t>
  </si>
  <si>
    <t xml:space="preserve">A.7.12</t>
  </si>
  <si>
    <t xml:space="preserve">Segurança da cablagem</t>
  </si>
  <si>
    <t xml:space="preserve">Cabos de energia e de dados protegidos.</t>
  </si>
  <si>
    <t xml:space="preserve">Esquemas de cablagem e proteção física.</t>
  </si>
  <si>
    <t xml:space="preserve">GR.CO-4, PR.GA-6, PR.RI-3</t>
  </si>
  <si>
    <t xml:space="preserve">A.7.13</t>
  </si>
  <si>
    <t xml:space="preserve">Manutenção de equipamentos</t>
  </si>
  <si>
    <t xml:space="preserve">Manutenção correta dos equipamentos.</t>
  </si>
  <si>
    <t xml:space="preserve">Plano e registos de manutenção.</t>
  </si>
  <si>
    <t xml:space="preserve">ID.GA-7</t>
  </si>
  <si>
    <t xml:space="preserve">A.7.14</t>
  </si>
  <si>
    <t xml:space="preserve">Eliminação ou reutilização de equipamentos</t>
  </si>
  <si>
    <t xml:space="preserve">Apagar dados e licenças antes de eliminar ou reutilizar equipamentos.</t>
  </si>
  <si>
    <t xml:space="preserve">Certificados de destruição ou apagamento seguro.</t>
  </si>
  <si>
    <t xml:space="preserve">ID.GA-7, ID.GA-8</t>
  </si>
  <si>
    <t xml:space="preserve">A.8.1</t>
  </si>
  <si>
    <t xml:space="preserve">Controlos tecnológicos</t>
  </si>
  <si>
    <t xml:space="preserve">Dispositivos dos utilizadores</t>
  </si>
  <si>
    <t xml:space="preserve">Proteção da informação nos dispositivos dos utilizadores.</t>
  </si>
  <si>
    <t xml:space="preserve">Política de dispositivos e gestão centralizada (MDM).</t>
  </si>
  <si>
    <t xml:space="preserve">DE.MC-3, DE.MC-5, PR.GA-6, PR.GA-7</t>
  </si>
  <si>
    <t xml:space="preserve">A.8.2</t>
  </si>
  <si>
    <t xml:space="preserve">Acessos privilegiados</t>
  </si>
  <si>
    <t xml:space="preserve">Atribuição e utilização de privilégios limitadas e controladas.</t>
  </si>
  <si>
    <t xml:space="preserve">Lista de contas privilegiadas e revisões.</t>
  </si>
  <si>
    <t xml:space="preserve">PR.GA-1, PR.GA-2, PR.GA-5, PR.SD-3</t>
  </si>
  <si>
    <t xml:space="preserve">A.8.3</t>
  </si>
  <si>
    <t xml:space="preserve">Restrição de acesso à informação</t>
  </si>
  <si>
    <t xml:space="preserve">Acesso à informação de acordo com a política de acessos.</t>
  </si>
  <si>
    <t xml:space="preserve">Configuração de permissões e revisões.</t>
  </si>
  <si>
    <t xml:space="preserve">DE.MC-2, PR.GA-1, PR.GA-2, PR.GA-5, PR.SD-3</t>
  </si>
  <si>
    <t xml:space="preserve">A.8.4</t>
  </si>
  <si>
    <t xml:space="preserve">Acesso ao código-fonte</t>
  </si>
  <si>
    <t xml:space="preserve">Acesso ao código-fonte e ferramentas de desenvolvimento controlado.</t>
  </si>
  <si>
    <t xml:space="preserve">Permissões do repositório de código.</t>
  </si>
  <si>
    <t xml:space="preserve">DE.MC-2, PR.GA-5, PR.SD-3</t>
  </si>
  <si>
    <t xml:space="preserve">A.8.5</t>
  </si>
  <si>
    <t xml:space="preserve">Autenticação segura</t>
  </si>
  <si>
    <t xml:space="preserve">Tecnologias e procedimentos de autenticação segura.</t>
  </si>
  <si>
    <t xml:space="preserve">Configuração de autenticação multifator.</t>
  </si>
  <si>
    <t xml:space="preserve">DE.AE-6, PR.GA-1, PR.GA-3, PR.GA-7</t>
  </si>
  <si>
    <t xml:space="preserve">A.8.6</t>
  </si>
  <si>
    <t xml:space="preserve">Gestão da capacidade</t>
  </si>
  <si>
    <t xml:space="preserve">Monitorizar e ajustar a capacidade dos recursos.</t>
  </si>
  <si>
    <t xml:space="preserve">Relatórios de capacidade e alertas.</t>
  </si>
  <si>
    <t xml:space="preserve">GR.CO-4, GR.GR-2, GR.PP-2, GR.PP-3, ID.GA-4, ID.GA-5, PR.RI-5, PR.SD-5</t>
  </si>
  <si>
    <t xml:space="preserve">A.8.7</t>
  </si>
  <si>
    <t xml:space="preserve">Proteção contra malware</t>
  </si>
  <si>
    <t xml:space="preserve">Proteção contra software malicioso e sensibilização dos utilizadores.</t>
  </si>
  <si>
    <t xml:space="preserve">Consola antimalware com cobertura e alertas.</t>
  </si>
  <si>
    <t xml:space="preserve">DE.MC-3, DE.MC-4, DE.MC-7, ID.GA-7, PR.FC-1, PR.SD-5, PR.SP-3, RS.MI-1, RS.MI-2</t>
  </si>
  <si>
    <t xml:space="preserve">A.8.8</t>
  </si>
  <si>
    <t xml:space="preserve">Gestão de vulnerabilidades técnicas</t>
  </si>
  <si>
    <t xml:space="preserve">Identificar, avaliar e corrigir vulnerabilidades técnicas.</t>
  </si>
  <si>
    <t xml:space="preserve">Relatórios de análise de vulnerabilidades e prazos de correção.</t>
  </si>
  <si>
    <t xml:space="preserve">DE.MC-1, ID.AR-1, ID.AR-4, ID.AR-5, ID.AR-6, ID.AR-7, PR.RI-1, RS.GI-1, RS.GI-2, RS.MI-2</t>
  </si>
  <si>
    <t xml:space="preserve">A.8.9</t>
  </si>
  <si>
    <t xml:space="preserve">Gestão da configuração</t>
  </si>
  <si>
    <t xml:space="preserve">Configurações seguras definidas, documentadas e controladas.</t>
  </si>
  <si>
    <t xml:space="preserve">Configurações de referência (baselines) e verificação.</t>
  </si>
  <si>
    <t xml:space="preserve">ID.GA-9, PR.SD-5</t>
  </si>
  <si>
    <t xml:space="preserve">A.8.10</t>
  </si>
  <si>
    <t xml:space="preserve">Eliminação de informação</t>
  </si>
  <si>
    <t xml:space="preserve">Apagar a informação quando deixa de ser necessária.</t>
  </si>
  <si>
    <t xml:space="preserve">Procedimento e registos de eliminação.</t>
  </si>
  <si>
    <t xml:space="preserve">ID.GA-8</t>
  </si>
  <si>
    <t xml:space="preserve">A.8.11</t>
  </si>
  <si>
    <t xml:space="preserve">Ocultação de dados</t>
  </si>
  <si>
    <t xml:space="preserve">Ocultar dados de acordo com a política de acessos e os requisitos legais.</t>
  </si>
  <si>
    <t xml:space="preserve">Regras de mascaramento e pseudonimização.</t>
  </si>
  <si>
    <t xml:space="preserve">ID.GA-7, PR.GA-7, PR.RI-1, PR.SD-1, PR.SD-2, PR.SD-3</t>
  </si>
  <si>
    <t xml:space="preserve">A.8.12</t>
  </si>
  <si>
    <t xml:space="preserve">Prevenção de fuga de dados</t>
  </si>
  <si>
    <t xml:space="preserve">Medidas contra a fuga de informação sensível.</t>
  </si>
  <si>
    <t xml:space="preserve">Configuração DLP e alertas tratados.</t>
  </si>
  <si>
    <t xml:space="preserve">DE.AE-2, DE.AE-3, DE.AE-6, DE.MC-1, DE.MC-3, DE.MC-4, DE.MC-6, ID.GA-3, ID.GA-7, PR.SD-3, PR.SD-5</t>
  </si>
  <si>
    <t xml:space="preserve">A.8.13</t>
  </si>
  <si>
    <t xml:space="preserve">Cópias de segurança</t>
  </si>
  <si>
    <t xml:space="preserve">Cópias de segurança feitas e testadas de acordo com a política.</t>
  </si>
  <si>
    <t xml:space="preserve">Política de cópias e relatórios de testes de reposição.</t>
  </si>
  <si>
    <t xml:space="preserve">PR.SD-5, RS.GI-1</t>
  </si>
  <si>
    <t xml:space="preserve">A.8.14</t>
  </si>
  <si>
    <t xml:space="preserve">Redundância</t>
  </si>
  <si>
    <t xml:space="preserve">Redundância suficiente para cumprir os requisitos de disponibilidade.</t>
  </si>
  <si>
    <t xml:space="preserve">Arquitetura com redundância e testes de falha.</t>
  </si>
  <si>
    <t xml:space="preserve">DE.AE-6, GR.CO-5, PR.RI-3, PR.RI-4, PR.RI-5</t>
  </si>
  <si>
    <t xml:space="preserve">A.8.15</t>
  </si>
  <si>
    <t xml:space="preserve">Registos (logs)</t>
  </si>
  <si>
    <t xml:space="preserve">Registos de atividades, exceções e eventos gerados, guardados e protegidos.</t>
  </si>
  <si>
    <t xml:space="preserve">Política de registos e configuração do SIEM.</t>
  </si>
  <si>
    <t xml:space="preserve">DE.AE-1, DE.AE-2, DE.MC-1, DE.MC-2, DE.MC-3, DE.MC-6, ID.GA-7, PR.SP-2</t>
  </si>
  <si>
    <t xml:space="preserve">A.8.16</t>
  </si>
  <si>
    <t xml:space="preserve">Monitorização de atividades</t>
  </si>
  <si>
    <t xml:space="preserve">Monitorizar redes, sistemas e aplicações para detetar comportamentos anómalos.</t>
  </si>
  <si>
    <t xml:space="preserve">Alertas de monitorização e respetivo tratamento.</t>
  </si>
  <si>
    <t xml:space="preserve">DE.AE-2, DE.AE-6, DE.MC-1, DE.MC-3, DE.MC-4, DE.MC-5, DE.MC-6, ID.AR-7, PR.RI-1, PR.SP-1, RS.GI-2, RS.MI-1</t>
  </si>
  <si>
    <t xml:space="preserve">A.8.17</t>
  </si>
  <si>
    <t xml:space="preserve">Sincronização de relógios</t>
  </si>
  <si>
    <t xml:space="preserve">Relógios sincronizados com fontes aprovadas.</t>
  </si>
  <si>
    <t xml:space="preserve">Configuração NTP.</t>
  </si>
  <si>
    <t xml:space="preserve">DE.AE-2, DE.AE-6, DE.MC-1, PR.SD-1, PR.SD-5, PR.SP-2, PR.SP-4</t>
  </si>
  <si>
    <t xml:space="preserve">A.8.18</t>
  </si>
  <si>
    <t xml:space="preserve">Programas utilitários privilegiados</t>
  </si>
  <si>
    <t xml:space="preserve">Uso de utilitários que contornam controlos restrito e controlado.</t>
  </si>
  <si>
    <t xml:space="preserve">Lista de utilitários autorizados.</t>
  </si>
  <si>
    <t xml:space="preserve">A.8.19</t>
  </si>
  <si>
    <t xml:space="preserve">Instalação de software</t>
  </si>
  <si>
    <t xml:space="preserve">Instalação de software em sistemas em produção controlada.</t>
  </si>
  <si>
    <t xml:space="preserve">Procedimento de instalação e lista de software autorizado.</t>
  </si>
  <si>
    <t xml:space="preserve">DE.MC-3, DE.MC-5, DE.MC-7, ID.GA-9, PR.SP-1</t>
  </si>
  <si>
    <t xml:space="preserve">A.8.20</t>
  </si>
  <si>
    <t xml:space="preserve">Segurança das redes</t>
  </si>
  <si>
    <t xml:space="preserve">Redes protegidas, geridas e controladas.</t>
  </si>
  <si>
    <t xml:space="preserve">Diagrama de rede e configuração de firewalls.</t>
  </si>
  <si>
    <t xml:space="preserve">DE.MC-3, PR.GA-7, PR.RI-1, PR.SD-2, PR.SD-3</t>
  </si>
  <si>
    <t xml:space="preserve">A.8.21</t>
  </si>
  <si>
    <t xml:space="preserve">Serviços de rede</t>
  </si>
  <si>
    <t xml:space="preserve">Mecanismos de segurança e níveis de serviço de rede definidos.</t>
  </si>
  <si>
    <t xml:space="preserve">Acordos de serviço de rede e requisitos de segurança.</t>
  </si>
  <si>
    <t xml:space="preserve">DE.MC-1, ID.GA-7, PR.RI-1</t>
  </si>
  <si>
    <t xml:space="preserve">A.8.22</t>
  </si>
  <si>
    <t xml:space="preserve">Segregação de redes</t>
  </si>
  <si>
    <t xml:space="preserve">Grupos de serviços, utilizadores e sistemas separados nas redes.</t>
  </si>
  <si>
    <t xml:space="preserve">Segmentação (VLAN, zonas) documentada.</t>
  </si>
  <si>
    <t xml:space="preserve">PR.RI-1, PR.SD-3</t>
  </si>
  <si>
    <t xml:space="preserve">A.8.23</t>
  </si>
  <si>
    <t xml:space="preserve">Filtragem web</t>
  </si>
  <si>
    <t xml:space="preserve">Acesso a sítios externos gerido para reduzir a exposição a conteúdos maliciosos.</t>
  </si>
  <si>
    <t xml:space="preserve">Configuração do filtro web.</t>
  </si>
  <si>
    <t xml:space="preserve">DE.MC-3, PR.RI-1</t>
  </si>
  <si>
    <t xml:space="preserve">A.8.24</t>
  </si>
  <si>
    <t xml:space="preserve">Utilização de criptografia</t>
  </si>
  <si>
    <t xml:space="preserve">Regras de utilização de criptografia e gestão de chaves.</t>
  </si>
  <si>
    <t xml:space="preserve">Política de criptografia e inventário de chaves.</t>
  </si>
  <si>
    <t xml:space="preserve">DE.MC-7, PR.SD-3</t>
  </si>
  <si>
    <t xml:space="preserve">A.8.25</t>
  </si>
  <si>
    <t xml:space="preserve">Desenvolvimento seguro</t>
  </si>
  <si>
    <t xml:space="preserve">Regras de desenvolvimento seguro de software e sistemas.</t>
  </si>
  <si>
    <t xml:space="preserve">Política de desenvolvimento seguro.</t>
  </si>
  <si>
    <t xml:space="preserve">PR.SP-4</t>
  </si>
  <si>
    <t xml:space="preserve">A.8.26</t>
  </si>
  <si>
    <t xml:space="preserve">Requisitos de segurança das aplicações</t>
  </si>
  <si>
    <t xml:space="preserve">Requisitos de segurança definidos na aquisição ou desenvolvimento de aplicações.</t>
  </si>
  <si>
    <t xml:space="preserve">Requisitos de segurança por aplicação.</t>
  </si>
  <si>
    <t xml:space="preserve">DE.MC-2, DE.MC-7, PR.RI-1, PR.SD-2, PR.SD-3</t>
  </si>
  <si>
    <t xml:space="preserve">A.8.27</t>
  </si>
  <si>
    <t xml:space="preserve">Arquitetura e engenharia seguras</t>
  </si>
  <si>
    <t xml:space="preserve">Princípios de engenharia de sistemas seguros aplicados.</t>
  </si>
  <si>
    <t xml:space="preserve">Princípios de arquitetura documentados.</t>
  </si>
  <si>
    <t xml:space="preserve">DE.MC-7, PR.GA-3, PR.SP-4</t>
  </si>
  <si>
    <t xml:space="preserve">A.8.28</t>
  </si>
  <si>
    <t xml:space="preserve">Programação segura</t>
  </si>
  <si>
    <t xml:space="preserve">Princípios de programação segura aplicados.</t>
  </si>
  <si>
    <t xml:space="preserve">Normas de programação e análise de código.</t>
  </si>
  <si>
    <t xml:space="preserve">PR.SP-1, PR.SP-4</t>
  </si>
  <si>
    <t xml:space="preserve">A.8.29</t>
  </si>
  <si>
    <t xml:space="preserve">Testes de segurança</t>
  </si>
  <si>
    <t xml:space="preserve">Testes de segurança no desenvolvimento e na aceitação.</t>
  </si>
  <si>
    <t xml:space="preserve">Planos e relatórios de testes de segurança.</t>
  </si>
  <si>
    <t xml:space="preserve">ID.AR-7</t>
  </si>
  <si>
    <t xml:space="preserve">A.8.30</t>
  </si>
  <si>
    <t xml:space="preserve">Desenvolvimento subcontratado</t>
  </si>
  <si>
    <t xml:space="preserve">Acompanhar e rever o desenvolvimento subcontratado.</t>
  </si>
  <si>
    <t xml:space="preserve">Contratos e revisões do fornecedor de desenvolvimento.</t>
  </si>
  <si>
    <t xml:space="preserve">DE.MC-6, GR.CA-2, ID.GA-2, PR.RI-2, PR.SP-4</t>
  </si>
  <si>
    <t xml:space="preserve">A.8.31</t>
  </si>
  <si>
    <t xml:space="preserve">Separação de ambientes</t>
  </si>
  <si>
    <t xml:space="preserve">Ambientes de desenvolvimento, teste e produção separados.</t>
  </si>
  <si>
    <t xml:space="preserve">Arquitetura de ambientes e controlos de acesso.</t>
  </si>
  <si>
    <t xml:space="preserve">DE.MC-2, PR.RI-2</t>
  </si>
  <si>
    <t xml:space="preserve">A.8.32</t>
  </si>
  <si>
    <t xml:space="preserve">Gestão de alterações</t>
  </si>
  <si>
    <t xml:space="preserve">Alterações aos meios de tratamento de informação controladas.</t>
  </si>
  <si>
    <t xml:space="preserve">Procedimento e registos de alterações aprovadas.</t>
  </si>
  <si>
    <t xml:space="preserve">DE.MC-2, DE.MC-7, ID.AR-4, ID.GA-9, PR.RI-3, PR.RI-5, PR.SP-1, RS.GI-1</t>
  </si>
  <si>
    <t xml:space="preserve">A.8.33</t>
  </si>
  <si>
    <t xml:space="preserve">Informação de teste</t>
  </si>
  <si>
    <t xml:space="preserve">Informação de teste escolhida, protegida e gerida.</t>
  </si>
  <si>
    <t xml:space="preserve">Regras para dados de teste (sem dados reais ou anonimizados).</t>
  </si>
  <si>
    <t xml:space="preserve">ID.AR-1, ID.GA-9, PR.RI-2, PR.SP-4</t>
  </si>
  <si>
    <t xml:space="preserve">A.8.34</t>
  </si>
  <si>
    <t xml:space="preserve">Proteção dos sistemas durante testes de auditoria</t>
  </si>
  <si>
    <t xml:space="preserve">Testes de auditoria e outras verificações aos sistemas em produção planeados e acordados para não afetar a operação.</t>
  </si>
  <si>
    <t xml:space="preserve">Plano de auditoria técnica acordado com o responsável dos sistemas.</t>
  </si>
  <si>
    <t xml:space="preserve">PR.SP-2</t>
  </si>
  <si>
    <t xml:space="preserve">Nível = Probabilidade × Impacto. Classificação: 1 a 6 baixo, 8 a 12 médio, 15 a 25 elevado (critério da AnkoraOne; ajuste aos critérios de aceitação aprovados pela entidade). A linha 3 é um exemplo.</t>
  </si>
  <si>
    <t xml:space="preserve">N.º</t>
  </si>
  <si>
    <t xml:space="preserve">Risco (ameaça sobre o ativo)</t>
  </si>
  <si>
    <t xml:space="preserve">Ativos</t>
  </si>
  <si>
    <t xml:space="preserve">Probabilidade (1 a 5)</t>
  </si>
  <si>
    <t xml:space="preserve">Impacto (1 a 5)</t>
  </si>
  <si>
    <t xml:space="preserve">Nível (P × I)</t>
  </si>
  <si>
    <t xml:space="preserve">Classificação</t>
  </si>
  <si>
    <t xml:space="preserve">Tratamento</t>
  </si>
  <si>
    <t xml:space="preserve">Controlos (Anexo A ou próprios)</t>
  </si>
  <si>
    <t xml:space="preserve">Responsável</t>
  </si>
  <si>
    <t xml:space="preserve">Prazo</t>
  </si>
  <si>
    <t xml:space="preserve">Risco residual aceite por</t>
  </si>
  <si>
    <t xml:space="preserve">Exemplo: cifra por ransomware do servidor de ficheiros</t>
  </si>
  <si>
    <t xml:space="preserve">Servidor de ficheiros</t>
  </si>
  <si>
    <t xml:space="preserve">Reduzir</t>
  </si>
  <si>
    <t xml:space="preserve">Cópias de segurança imutáveis; MFA</t>
  </si>
  <si>
    <t xml:space="preserve">Responsável de TI</t>
  </si>
  <si>
    <t xml:space="preserve">2026-12-31</t>
  </si>
  <si>
    <t xml:space="preserve">Responsável de cibersegurança</t>
  </si>
  <si>
    <t xml:space="preserve">Cláusula</t>
  </si>
  <si>
    <t xml:space="preserve">Documento da entidade</t>
  </si>
  <si>
    <t xml:space="preserve">Local</t>
  </si>
  <si>
    <t xml:space="preserve">Versão e data</t>
  </si>
  <si>
    <t xml:space="preserve">4.3</t>
  </si>
  <si>
    <t xml:space="preserve">Âmbito do sistema de gestão</t>
  </si>
  <si>
    <t xml:space="preserve">5.2</t>
  </si>
  <si>
    <t xml:space="preserve">Política de segurança da informação</t>
  </si>
  <si>
    <t xml:space="preserve">6.1.2</t>
  </si>
  <si>
    <t xml:space="preserve">Avaliação de riscos de segurança da informação</t>
  </si>
  <si>
    <t xml:space="preserve">6.1.3</t>
  </si>
  <si>
    <t xml:space="preserve">Tratamento de riscos e Declaração de Aplicabilidade</t>
  </si>
  <si>
    <t xml:space="preserve">6.2</t>
  </si>
  <si>
    <t xml:space="preserve">Objetivos de segurança da informação</t>
  </si>
  <si>
    <t xml:space="preserve">7.2</t>
  </si>
  <si>
    <t xml:space="preserve">Competência</t>
  </si>
  <si>
    <t xml:space="preserve">7.5</t>
  </si>
  <si>
    <t xml:space="preserve">Informação documentada</t>
  </si>
  <si>
    <t xml:space="preserve">8.1</t>
  </si>
  <si>
    <t xml:space="preserve">Planeamento e controlo operacional</t>
  </si>
  <si>
    <t xml:space="preserve">8.2</t>
  </si>
  <si>
    <t xml:space="preserve">8.3</t>
  </si>
  <si>
    <t xml:space="preserve">Tratamento de riscos de segurança da informação</t>
  </si>
  <si>
    <t xml:space="preserve">9.1</t>
  </si>
  <si>
    <t xml:space="preserve">Monitorização, medição, análise e avaliação</t>
  </si>
  <si>
    <t xml:space="preserve">9.2</t>
  </si>
  <si>
    <t xml:space="preserve">Auditoria interna</t>
  </si>
  <si>
    <t xml:space="preserve">9.3</t>
  </si>
  <si>
    <t xml:space="preserve">Revisão pela gestão</t>
  </si>
  <si>
    <t xml:space="preserve">10.2</t>
  </si>
  <si>
    <t xml:space="preserve">Não conformidades e ações corretivas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</si>
</sst>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0A13"/>
      <name val="Arial"/>
      <family val="0"/>
      <charset val="1"/>
    </font>
    <font>
      <sz val="10"/>
      <color rgb="FF5B6474"/>
      <name val="Arial"/>
      <family val="0"/>
      <charset val="1"/>
    </font>
    <font>
      <b val="true"/>
      <sz val="11"/>
      <color rgb="FF070A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10"/>
      <color rgb="FF8A6620"/>
      <name val="Arial"/>
      <family val="0"/>
      <charset val="1"/>
    </font>
    <font>
      <i val="true"/>
      <sz val="9"/>
      <color rgb="FF5B6474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  <fill>
      <patternFill patternType="solid">
        <fgColor rgb="FF070A13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70A1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5B647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62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4"/>
      <rgbColor rgb="FF969696"/>
      <rgbColor rgb="FF003366"/>
      <rgbColor rgb="FF339966"/>
      <rgbColor rgb="FF070A1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5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23.85" hidden="false" customHeight="false" outlineLevel="0" collapsed="false">
      <c r="A13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28"/>
  </cols>
  <sheetData>
    <row r="1" customFormat="false" ht="46.2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</row>
    <row r="2" customFormat="false" ht="22.35" hidden="false" customHeight="false" outlineLevel="0" collapsed="false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8"/>
      <c r="H2" s="8"/>
      <c r="I2" s="8"/>
      <c r="J2" s="8"/>
      <c r="K2" s="8"/>
    </row>
    <row r="3" customFormat="false" ht="22.35" hidden="false" customHeight="false" outlineLevel="0" collapsed="false">
      <c r="A3" s="7" t="s">
        <v>28</v>
      </c>
      <c r="B3" s="7" t="s">
        <v>23</v>
      </c>
      <c r="C3" s="7" t="s">
        <v>29</v>
      </c>
      <c r="D3" s="7" t="s">
        <v>30</v>
      </c>
      <c r="E3" s="7" t="s">
        <v>31</v>
      </c>
      <c r="F3" s="7" t="s">
        <v>32</v>
      </c>
      <c r="G3" s="8"/>
      <c r="H3" s="8"/>
      <c r="I3" s="8"/>
      <c r="J3" s="8"/>
      <c r="K3" s="8"/>
    </row>
    <row r="4" customFormat="false" ht="22.35" hidden="false" customHeight="false" outlineLevel="0" collapsed="false">
      <c r="A4" s="7" t="s">
        <v>33</v>
      </c>
      <c r="B4" s="7" t="s">
        <v>23</v>
      </c>
      <c r="C4" s="7" t="s">
        <v>34</v>
      </c>
      <c r="D4" s="7" t="s">
        <v>35</v>
      </c>
      <c r="E4" s="7" t="s">
        <v>36</v>
      </c>
      <c r="F4" s="7" t="s">
        <v>37</v>
      </c>
      <c r="G4" s="8"/>
      <c r="H4" s="8"/>
      <c r="I4" s="8"/>
      <c r="J4" s="8"/>
      <c r="K4" s="8"/>
    </row>
    <row r="5" customFormat="false" ht="22.35" hidden="false" customHeight="false" outlineLevel="0" collapsed="false">
      <c r="A5" s="7" t="s">
        <v>38</v>
      </c>
      <c r="B5" s="7" t="s">
        <v>23</v>
      </c>
      <c r="C5" s="7" t="s">
        <v>39</v>
      </c>
      <c r="D5" s="7" t="s">
        <v>40</v>
      </c>
      <c r="E5" s="7" t="s">
        <v>41</v>
      </c>
      <c r="F5" s="7" t="s">
        <v>42</v>
      </c>
      <c r="G5" s="8"/>
      <c r="H5" s="8"/>
      <c r="I5" s="8"/>
      <c r="J5" s="8"/>
      <c r="K5" s="8"/>
    </row>
    <row r="6" customFormat="false" ht="85.05" hidden="false" customHeight="false" outlineLevel="0" collapsed="false">
      <c r="A6" s="7" t="s">
        <v>43</v>
      </c>
      <c r="B6" s="7" t="s">
        <v>23</v>
      </c>
      <c r="C6" s="7" t="s">
        <v>44</v>
      </c>
      <c r="D6" s="7" t="s">
        <v>45</v>
      </c>
      <c r="E6" s="7" t="s">
        <v>46</v>
      </c>
      <c r="F6" s="7" t="s">
        <v>47</v>
      </c>
      <c r="G6" s="8"/>
      <c r="H6" s="8"/>
      <c r="I6" s="8"/>
      <c r="J6" s="8"/>
      <c r="K6" s="8"/>
    </row>
    <row r="7" customFormat="false" ht="32.8" hidden="false" customHeight="false" outlineLevel="0" collapsed="false">
      <c r="A7" s="7" t="s">
        <v>48</v>
      </c>
      <c r="B7" s="7" t="s">
        <v>23</v>
      </c>
      <c r="C7" s="7" t="s">
        <v>49</v>
      </c>
      <c r="D7" s="7" t="s">
        <v>50</v>
      </c>
      <c r="E7" s="7" t="s">
        <v>51</v>
      </c>
      <c r="F7" s="7" t="s">
        <v>52</v>
      </c>
      <c r="G7" s="8"/>
      <c r="H7" s="8"/>
      <c r="I7" s="8"/>
      <c r="J7" s="8"/>
      <c r="K7" s="8"/>
    </row>
    <row r="8" customFormat="false" ht="64.15" hidden="false" customHeight="false" outlineLevel="0" collapsed="false">
      <c r="A8" s="7" t="s">
        <v>53</v>
      </c>
      <c r="B8" s="7" t="s">
        <v>23</v>
      </c>
      <c r="C8" s="7" t="s">
        <v>54</v>
      </c>
      <c r="D8" s="7" t="s">
        <v>55</v>
      </c>
      <c r="E8" s="7" t="s">
        <v>56</v>
      </c>
      <c r="F8" s="7" t="s">
        <v>57</v>
      </c>
      <c r="G8" s="8"/>
      <c r="H8" s="8"/>
      <c r="I8" s="8"/>
      <c r="J8" s="8"/>
      <c r="K8" s="8"/>
    </row>
    <row r="9" customFormat="false" ht="22.35" hidden="false" customHeight="false" outlineLevel="0" collapsed="false">
      <c r="A9" s="7" t="s">
        <v>58</v>
      </c>
      <c r="B9" s="7" t="s">
        <v>23</v>
      </c>
      <c r="C9" s="7" t="s">
        <v>59</v>
      </c>
      <c r="D9" s="7" t="s">
        <v>60</v>
      </c>
      <c r="E9" s="7" t="s">
        <v>61</v>
      </c>
      <c r="F9" s="7" t="s">
        <v>62</v>
      </c>
      <c r="G9" s="8"/>
      <c r="H9" s="8"/>
      <c r="I9" s="8"/>
      <c r="J9" s="8"/>
      <c r="K9" s="8"/>
    </row>
    <row r="10" customFormat="false" ht="32.8" hidden="false" customHeight="false" outlineLevel="0" collapsed="false">
      <c r="A10" s="7" t="s">
        <v>63</v>
      </c>
      <c r="B10" s="7" t="s">
        <v>23</v>
      </c>
      <c r="C10" s="7" t="s">
        <v>64</v>
      </c>
      <c r="D10" s="7" t="s">
        <v>65</v>
      </c>
      <c r="E10" s="7" t="s">
        <v>66</v>
      </c>
      <c r="F10" s="7" t="s">
        <v>67</v>
      </c>
      <c r="G10" s="8"/>
      <c r="H10" s="8"/>
      <c r="I10" s="8"/>
      <c r="J10" s="8"/>
      <c r="K10" s="8"/>
    </row>
    <row r="11" customFormat="false" ht="32.8" hidden="false" customHeight="false" outlineLevel="0" collapsed="false">
      <c r="A11" s="7" t="s">
        <v>68</v>
      </c>
      <c r="B11" s="7" t="s">
        <v>23</v>
      </c>
      <c r="C11" s="7" t="s">
        <v>69</v>
      </c>
      <c r="D11" s="7" t="s">
        <v>70</v>
      </c>
      <c r="E11" s="7" t="s">
        <v>71</v>
      </c>
      <c r="F11" s="7" t="s">
        <v>72</v>
      </c>
      <c r="G11" s="8"/>
      <c r="H11" s="8"/>
      <c r="I11" s="8"/>
      <c r="J11" s="8"/>
      <c r="K11" s="8"/>
    </row>
    <row r="12" customFormat="false" ht="22.35" hidden="false" customHeight="false" outlineLevel="0" collapsed="false">
      <c r="A12" s="7" t="s">
        <v>73</v>
      </c>
      <c r="B12" s="7" t="s">
        <v>23</v>
      </c>
      <c r="C12" s="7" t="s">
        <v>74</v>
      </c>
      <c r="D12" s="7" t="s">
        <v>75</v>
      </c>
      <c r="E12" s="7" t="s">
        <v>76</v>
      </c>
      <c r="F12" s="7" t="s">
        <v>77</v>
      </c>
      <c r="G12" s="8"/>
      <c r="H12" s="8"/>
      <c r="I12" s="8"/>
      <c r="J12" s="8"/>
      <c r="K12" s="8"/>
    </row>
    <row r="13" customFormat="false" ht="32.8" hidden="false" customHeight="false" outlineLevel="0" collapsed="false">
      <c r="A13" s="7" t="s">
        <v>78</v>
      </c>
      <c r="B13" s="7" t="s">
        <v>23</v>
      </c>
      <c r="C13" s="7" t="s">
        <v>79</v>
      </c>
      <c r="D13" s="7" t="s">
        <v>80</v>
      </c>
      <c r="E13" s="7" t="s">
        <v>81</v>
      </c>
      <c r="F13" s="7" t="s">
        <v>82</v>
      </c>
      <c r="G13" s="8"/>
      <c r="H13" s="8"/>
      <c r="I13" s="8"/>
      <c r="J13" s="8"/>
      <c r="K13" s="8"/>
    </row>
    <row r="14" customFormat="false" ht="15" hidden="false" customHeight="false" outlineLevel="0" collapsed="false">
      <c r="A14" s="7" t="s">
        <v>83</v>
      </c>
      <c r="B14" s="7" t="s">
        <v>23</v>
      </c>
      <c r="C14" s="7" t="s">
        <v>84</v>
      </c>
      <c r="D14" s="7" t="s">
        <v>85</v>
      </c>
      <c r="E14" s="7" t="s">
        <v>86</v>
      </c>
      <c r="F14" s="7" t="s">
        <v>87</v>
      </c>
      <c r="G14" s="8"/>
      <c r="H14" s="8"/>
      <c r="I14" s="8"/>
      <c r="J14" s="8"/>
      <c r="K14" s="8"/>
    </row>
    <row r="15" customFormat="false" ht="22.35" hidden="false" customHeight="false" outlineLevel="0" collapsed="false">
      <c r="A15" s="7" t="s">
        <v>88</v>
      </c>
      <c r="B15" s="7" t="s">
        <v>23</v>
      </c>
      <c r="C15" s="7" t="s">
        <v>89</v>
      </c>
      <c r="D15" s="7" t="s">
        <v>90</v>
      </c>
      <c r="E15" s="7" t="s">
        <v>91</v>
      </c>
      <c r="F15" s="7" t="s">
        <v>92</v>
      </c>
      <c r="G15" s="8"/>
      <c r="H15" s="8"/>
      <c r="I15" s="8"/>
      <c r="J15" s="8"/>
      <c r="K15" s="8"/>
    </row>
    <row r="16" customFormat="false" ht="22.35" hidden="false" customHeight="false" outlineLevel="0" collapsed="false">
      <c r="A16" s="7" t="s">
        <v>93</v>
      </c>
      <c r="B16" s="7" t="s">
        <v>23</v>
      </c>
      <c r="C16" s="7" t="s">
        <v>94</v>
      </c>
      <c r="D16" s="7" t="s">
        <v>95</v>
      </c>
      <c r="E16" s="7" t="s">
        <v>96</v>
      </c>
      <c r="F16" s="7" t="s">
        <v>97</v>
      </c>
      <c r="G16" s="8"/>
      <c r="H16" s="8"/>
      <c r="I16" s="8"/>
      <c r="J16" s="8"/>
      <c r="K16" s="8"/>
    </row>
    <row r="17" customFormat="false" ht="22.35" hidden="false" customHeight="false" outlineLevel="0" collapsed="false">
      <c r="A17" s="7" t="s">
        <v>98</v>
      </c>
      <c r="B17" s="7" t="s">
        <v>23</v>
      </c>
      <c r="C17" s="7" t="s">
        <v>99</v>
      </c>
      <c r="D17" s="7" t="s">
        <v>100</v>
      </c>
      <c r="E17" s="7" t="s">
        <v>101</v>
      </c>
      <c r="F17" s="7" t="s">
        <v>102</v>
      </c>
      <c r="G17" s="8"/>
      <c r="H17" s="8"/>
      <c r="I17" s="8"/>
      <c r="J17" s="8"/>
      <c r="K17" s="8"/>
    </row>
    <row r="18" customFormat="false" ht="22.35" hidden="false" customHeight="false" outlineLevel="0" collapsed="false">
      <c r="A18" s="7" t="s">
        <v>103</v>
      </c>
      <c r="B18" s="7" t="s">
        <v>23</v>
      </c>
      <c r="C18" s="7" t="s">
        <v>104</v>
      </c>
      <c r="D18" s="7" t="s">
        <v>105</v>
      </c>
      <c r="E18" s="7" t="s">
        <v>106</v>
      </c>
      <c r="F18" s="7" t="s">
        <v>102</v>
      </c>
      <c r="G18" s="8"/>
      <c r="H18" s="8"/>
      <c r="I18" s="8"/>
      <c r="J18" s="8"/>
      <c r="K18" s="8"/>
    </row>
    <row r="19" customFormat="false" ht="15" hidden="false" customHeight="false" outlineLevel="0" collapsed="false">
      <c r="A19" s="7" t="s">
        <v>107</v>
      </c>
      <c r="B19" s="7" t="s">
        <v>23</v>
      </c>
      <c r="C19" s="7" t="s">
        <v>108</v>
      </c>
      <c r="D19" s="7" t="s">
        <v>109</v>
      </c>
      <c r="E19" s="7" t="s">
        <v>110</v>
      </c>
      <c r="F19" s="7" t="s">
        <v>111</v>
      </c>
      <c r="G19" s="8"/>
      <c r="H19" s="8"/>
      <c r="I19" s="8"/>
      <c r="J19" s="8"/>
      <c r="K19" s="8"/>
    </row>
    <row r="20" customFormat="false" ht="22.35" hidden="false" customHeight="false" outlineLevel="0" collapsed="false">
      <c r="A20" s="7" t="s">
        <v>112</v>
      </c>
      <c r="B20" s="7" t="s">
        <v>23</v>
      </c>
      <c r="C20" s="7" t="s">
        <v>113</v>
      </c>
      <c r="D20" s="7" t="s">
        <v>114</v>
      </c>
      <c r="E20" s="7" t="s">
        <v>115</v>
      </c>
      <c r="F20" s="7" t="s">
        <v>116</v>
      </c>
      <c r="G20" s="8"/>
      <c r="H20" s="8"/>
      <c r="I20" s="8"/>
      <c r="J20" s="8"/>
      <c r="K20" s="8"/>
    </row>
    <row r="21" customFormat="false" ht="53.7" hidden="false" customHeight="false" outlineLevel="0" collapsed="false">
      <c r="A21" s="7" t="s">
        <v>117</v>
      </c>
      <c r="B21" s="7" t="s">
        <v>23</v>
      </c>
      <c r="C21" s="7" t="s">
        <v>118</v>
      </c>
      <c r="D21" s="7" t="s">
        <v>119</v>
      </c>
      <c r="E21" s="7" t="s">
        <v>120</v>
      </c>
      <c r="F21" s="7" t="s">
        <v>121</v>
      </c>
      <c r="G21" s="8"/>
      <c r="H21" s="8"/>
      <c r="I21" s="8"/>
      <c r="J21" s="8"/>
      <c r="K21" s="8"/>
    </row>
    <row r="22" customFormat="false" ht="32.8" hidden="false" customHeight="false" outlineLevel="0" collapsed="false">
      <c r="A22" s="7" t="s">
        <v>122</v>
      </c>
      <c r="B22" s="7" t="s">
        <v>23</v>
      </c>
      <c r="C22" s="7" t="s">
        <v>123</v>
      </c>
      <c r="D22" s="7" t="s">
        <v>124</v>
      </c>
      <c r="E22" s="7" t="s">
        <v>125</v>
      </c>
      <c r="F22" s="7" t="s">
        <v>126</v>
      </c>
      <c r="G22" s="8"/>
      <c r="H22" s="8"/>
      <c r="I22" s="8"/>
      <c r="J22" s="8"/>
      <c r="K22" s="8"/>
    </row>
    <row r="23" customFormat="false" ht="43.25" hidden="false" customHeight="false" outlineLevel="0" collapsed="false">
      <c r="A23" s="7" t="s">
        <v>127</v>
      </c>
      <c r="B23" s="7" t="s">
        <v>23</v>
      </c>
      <c r="C23" s="7" t="s">
        <v>128</v>
      </c>
      <c r="D23" s="7" t="s">
        <v>129</v>
      </c>
      <c r="E23" s="7" t="s">
        <v>130</v>
      </c>
      <c r="F23" s="7" t="s">
        <v>131</v>
      </c>
      <c r="G23" s="8"/>
      <c r="H23" s="8"/>
      <c r="I23" s="8"/>
      <c r="J23" s="8"/>
      <c r="K23" s="8"/>
    </row>
    <row r="24" customFormat="false" ht="22.35" hidden="false" customHeight="false" outlineLevel="0" collapsed="false">
      <c r="A24" s="7" t="s">
        <v>132</v>
      </c>
      <c r="B24" s="7" t="s">
        <v>23</v>
      </c>
      <c r="C24" s="7" t="s">
        <v>133</v>
      </c>
      <c r="D24" s="7" t="s">
        <v>134</v>
      </c>
      <c r="E24" s="7" t="s">
        <v>135</v>
      </c>
      <c r="F24" s="7" t="s">
        <v>136</v>
      </c>
      <c r="G24" s="8"/>
      <c r="H24" s="8"/>
      <c r="I24" s="8"/>
      <c r="J24" s="8"/>
      <c r="K24" s="8"/>
    </row>
    <row r="25" customFormat="false" ht="22.35" hidden="false" customHeight="false" outlineLevel="0" collapsed="false">
      <c r="A25" s="7" t="s">
        <v>137</v>
      </c>
      <c r="B25" s="7" t="s">
        <v>23</v>
      </c>
      <c r="C25" s="7" t="s">
        <v>138</v>
      </c>
      <c r="D25" s="7" t="s">
        <v>139</v>
      </c>
      <c r="E25" s="7" t="s">
        <v>140</v>
      </c>
      <c r="F25" s="7" t="s">
        <v>141</v>
      </c>
      <c r="G25" s="8"/>
      <c r="H25" s="8"/>
      <c r="I25" s="8"/>
      <c r="J25" s="8"/>
      <c r="K25" s="8"/>
    </row>
    <row r="26" customFormat="false" ht="32.8" hidden="false" customHeight="false" outlineLevel="0" collapsed="false">
      <c r="A26" s="7" t="s">
        <v>142</v>
      </c>
      <c r="B26" s="7" t="s">
        <v>23</v>
      </c>
      <c r="C26" s="7" t="s">
        <v>143</v>
      </c>
      <c r="D26" s="7" t="s">
        <v>144</v>
      </c>
      <c r="E26" s="7" t="s">
        <v>145</v>
      </c>
      <c r="F26" s="7" t="s">
        <v>146</v>
      </c>
      <c r="G26" s="8"/>
      <c r="H26" s="8"/>
      <c r="I26" s="8"/>
      <c r="J26" s="8"/>
      <c r="K26" s="8"/>
    </row>
    <row r="27" customFormat="false" ht="53.7" hidden="false" customHeight="false" outlineLevel="0" collapsed="false">
      <c r="A27" s="7" t="s">
        <v>147</v>
      </c>
      <c r="B27" s="7" t="s">
        <v>23</v>
      </c>
      <c r="C27" s="7" t="s">
        <v>148</v>
      </c>
      <c r="D27" s="7" t="s">
        <v>149</v>
      </c>
      <c r="E27" s="7" t="s">
        <v>150</v>
      </c>
      <c r="F27" s="7" t="s">
        <v>151</v>
      </c>
      <c r="G27" s="8"/>
      <c r="H27" s="8"/>
      <c r="I27" s="8"/>
      <c r="J27" s="8"/>
      <c r="K27" s="8"/>
    </row>
    <row r="28" customFormat="false" ht="22.35" hidden="false" customHeight="false" outlineLevel="0" collapsed="false">
      <c r="A28" s="7" t="s">
        <v>152</v>
      </c>
      <c r="B28" s="7" t="s">
        <v>23</v>
      </c>
      <c r="C28" s="7" t="s">
        <v>153</v>
      </c>
      <c r="D28" s="7" t="s">
        <v>154</v>
      </c>
      <c r="E28" s="7" t="s">
        <v>155</v>
      </c>
      <c r="F28" s="7" t="s">
        <v>156</v>
      </c>
      <c r="G28" s="8"/>
      <c r="H28" s="8"/>
      <c r="I28" s="8"/>
      <c r="J28" s="8"/>
      <c r="K28" s="8"/>
    </row>
    <row r="29" customFormat="false" ht="15" hidden="false" customHeight="false" outlineLevel="0" collapsed="false">
      <c r="A29" s="7" t="s">
        <v>157</v>
      </c>
      <c r="B29" s="7" t="s">
        <v>23</v>
      </c>
      <c r="C29" s="7" t="s">
        <v>158</v>
      </c>
      <c r="D29" s="7" t="s">
        <v>159</v>
      </c>
      <c r="E29" s="7" t="s">
        <v>160</v>
      </c>
      <c r="F29" s="7" t="s">
        <v>161</v>
      </c>
      <c r="G29" s="8"/>
      <c r="H29" s="8"/>
      <c r="I29" s="8"/>
      <c r="J29" s="8"/>
      <c r="K29" s="8"/>
    </row>
    <row r="30" customFormat="false" ht="43.25" hidden="false" customHeight="false" outlineLevel="0" collapsed="false">
      <c r="A30" s="7" t="s">
        <v>162</v>
      </c>
      <c r="B30" s="7" t="s">
        <v>23</v>
      </c>
      <c r="C30" s="7" t="s">
        <v>163</v>
      </c>
      <c r="D30" s="7" t="s">
        <v>164</v>
      </c>
      <c r="E30" s="7" t="s">
        <v>165</v>
      </c>
      <c r="F30" s="7" t="s">
        <v>166</v>
      </c>
      <c r="G30" s="8"/>
      <c r="H30" s="8"/>
      <c r="I30" s="8"/>
      <c r="J30" s="8"/>
      <c r="K30" s="8"/>
    </row>
    <row r="31" customFormat="false" ht="22.35" hidden="false" customHeight="false" outlineLevel="0" collapsed="false">
      <c r="A31" s="7" t="s">
        <v>167</v>
      </c>
      <c r="B31" s="7" t="s">
        <v>23</v>
      </c>
      <c r="C31" s="7" t="s">
        <v>168</v>
      </c>
      <c r="D31" s="7" t="s">
        <v>169</v>
      </c>
      <c r="E31" s="7" t="s">
        <v>170</v>
      </c>
      <c r="F31" s="7" t="s">
        <v>171</v>
      </c>
      <c r="G31" s="8"/>
      <c r="H31" s="8"/>
      <c r="I31" s="8"/>
      <c r="J31" s="8"/>
      <c r="K31" s="8"/>
    </row>
    <row r="32" customFormat="false" ht="22.35" hidden="false" customHeight="false" outlineLevel="0" collapsed="false">
      <c r="A32" s="7" t="s">
        <v>172</v>
      </c>
      <c r="B32" s="7" t="s">
        <v>23</v>
      </c>
      <c r="C32" s="7" t="s">
        <v>173</v>
      </c>
      <c r="D32" s="7" t="s">
        <v>174</v>
      </c>
      <c r="E32" s="7" t="s">
        <v>175</v>
      </c>
      <c r="F32" s="7" t="s">
        <v>176</v>
      </c>
      <c r="G32" s="8"/>
      <c r="H32" s="8"/>
      <c r="I32" s="8"/>
      <c r="J32" s="8"/>
      <c r="K32" s="8"/>
    </row>
    <row r="33" customFormat="false" ht="15" hidden="false" customHeight="false" outlineLevel="0" collapsed="false">
      <c r="A33" s="7" t="s">
        <v>177</v>
      </c>
      <c r="B33" s="7" t="s">
        <v>23</v>
      </c>
      <c r="C33" s="7" t="s">
        <v>178</v>
      </c>
      <c r="D33" s="7" t="s">
        <v>179</v>
      </c>
      <c r="E33" s="7" t="s">
        <v>180</v>
      </c>
      <c r="F33" s="7" t="s">
        <v>181</v>
      </c>
      <c r="G33" s="8"/>
      <c r="H33" s="8"/>
      <c r="I33" s="8"/>
      <c r="J33" s="8"/>
      <c r="K33" s="8"/>
    </row>
    <row r="34" customFormat="false" ht="22.35" hidden="false" customHeight="false" outlineLevel="0" collapsed="false">
      <c r="A34" s="7" t="s">
        <v>182</v>
      </c>
      <c r="B34" s="7" t="s">
        <v>23</v>
      </c>
      <c r="C34" s="7" t="s">
        <v>183</v>
      </c>
      <c r="D34" s="7" t="s">
        <v>184</v>
      </c>
      <c r="E34" s="7" t="s">
        <v>185</v>
      </c>
      <c r="F34" s="7" t="s">
        <v>181</v>
      </c>
      <c r="G34" s="8"/>
      <c r="H34" s="8"/>
      <c r="I34" s="8"/>
      <c r="J34" s="8"/>
      <c r="K34" s="8"/>
    </row>
    <row r="35" customFormat="false" ht="22.35" hidden="false" customHeight="false" outlineLevel="0" collapsed="false">
      <c r="A35" s="7" t="s">
        <v>186</v>
      </c>
      <c r="B35" s="7" t="s">
        <v>23</v>
      </c>
      <c r="C35" s="7" t="s">
        <v>187</v>
      </c>
      <c r="D35" s="7" t="s">
        <v>188</v>
      </c>
      <c r="E35" s="7" t="s">
        <v>189</v>
      </c>
      <c r="F35" s="7" t="s">
        <v>190</v>
      </c>
      <c r="G35" s="8"/>
      <c r="H35" s="8"/>
      <c r="I35" s="8"/>
      <c r="J35" s="8"/>
      <c r="K35" s="8"/>
    </row>
    <row r="36" customFormat="false" ht="22.35" hidden="false" customHeight="false" outlineLevel="0" collapsed="false">
      <c r="A36" s="7" t="s">
        <v>191</v>
      </c>
      <c r="B36" s="7" t="s">
        <v>23</v>
      </c>
      <c r="C36" s="7" t="s">
        <v>192</v>
      </c>
      <c r="D36" s="7" t="s">
        <v>193</v>
      </c>
      <c r="E36" s="7" t="s">
        <v>194</v>
      </c>
      <c r="F36" s="7" t="s">
        <v>195</v>
      </c>
      <c r="G36" s="8"/>
      <c r="H36" s="8"/>
      <c r="I36" s="8"/>
      <c r="J36" s="8"/>
      <c r="K36" s="8"/>
    </row>
    <row r="37" customFormat="false" ht="22.35" hidden="false" customHeight="false" outlineLevel="0" collapsed="false">
      <c r="A37" s="7" t="s">
        <v>196</v>
      </c>
      <c r="B37" s="7" t="s">
        <v>23</v>
      </c>
      <c r="C37" s="7" t="s">
        <v>197</v>
      </c>
      <c r="D37" s="7" t="s">
        <v>198</v>
      </c>
      <c r="E37" s="7" t="s">
        <v>199</v>
      </c>
      <c r="F37" s="7" t="s">
        <v>200</v>
      </c>
      <c r="G37" s="8"/>
      <c r="H37" s="8"/>
      <c r="I37" s="8"/>
      <c r="J37" s="8"/>
      <c r="K37" s="8"/>
    </row>
    <row r="38" customFormat="false" ht="43.25" hidden="false" customHeight="false" outlineLevel="0" collapsed="false">
      <c r="A38" s="7" t="s">
        <v>201</v>
      </c>
      <c r="B38" s="7" t="s">
        <v>23</v>
      </c>
      <c r="C38" s="7" t="s">
        <v>202</v>
      </c>
      <c r="D38" s="7" t="s">
        <v>203</v>
      </c>
      <c r="E38" s="7" t="s">
        <v>204</v>
      </c>
      <c r="F38" s="7" t="s">
        <v>205</v>
      </c>
      <c r="G38" s="8"/>
      <c r="H38" s="8"/>
      <c r="I38" s="8"/>
      <c r="J38" s="8"/>
      <c r="K38" s="8"/>
    </row>
    <row r="39" customFormat="false" ht="22.35" hidden="false" customHeight="false" outlineLevel="0" collapsed="false">
      <c r="A39" s="7" t="s">
        <v>206</v>
      </c>
      <c r="B39" s="7" t="s">
        <v>207</v>
      </c>
      <c r="C39" s="7" t="s">
        <v>208</v>
      </c>
      <c r="D39" s="7" t="s">
        <v>209</v>
      </c>
      <c r="E39" s="7" t="s">
        <v>210</v>
      </c>
      <c r="F39" s="7" t="s">
        <v>211</v>
      </c>
      <c r="G39" s="8"/>
      <c r="H39" s="8"/>
      <c r="I39" s="8"/>
      <c r="J39" s="8"/>
      <c r="K39" s="8"/>
    </row>
    <row r="40" customFormat="false" ht="15" hidden="false" customHeight="false" outlineLevel="0" collapsed="false">
      <c r="A40" s="7" t="s">
        <v>212</v>
      </c>
      <c r="B40" s="7" t="s">
        <v>207</v>
      </c>
      <c r="C40" s="7" t="s">
        <v>213</v>
      </c>
      <c r="D40" s="7" t="s">
        <v>214</v>
      </c>
      <c r="E40" s="7" t="s">
        <v>215</v>
      </c>
      <c r="F40" s="7" t="s">
        <v>211</v>
      </c>
      <c r="G40" s="8"/>
      <c r="H40" s="8"/>
      <c r="I40" s="8"/>
      <c r="J40" s="8"/>
      <c r="K40" s="8"/>
    </row>
    <row r="41" customFormat="false" ht="32.8" hidden="false" customHeight="false" outlineLevel="0" collapsed="false">
      <c r="A41" s="7" t="s">
        <v>216</v>
      </c>
      <c r="B41" s="7" t="s">
        <v>207</v>
      </c>
      <c r="C41" s="7" t="s">
        <v>217</v>
      </c>
      <c r="D41" s="7" t="s">
        <v>218</v>
      </c>
      <c r="E41" s="7" t="s">
        <v>219</v>
      </c>
      <c r="F41" s="7" t="s">
        <v>220</v>
      </c>
      <c r="G41" s="8"/>
      <c r="H41" s="8"/>
      <c r="I41" s="8"/>
      <c r="J41" s="8"/>
      <c r="K41" s="8"/>
    </row>
    <row r="42" customFormat="false" ht="22.35" hidden="false" customHeight="false" outlineLevel="0" collapsed="false">
      <c r="A42" s="7" t="s">
        <v>221</v>
      </c>
      <c r="B42" s="7" t="s">
        <v>207</v>
      </c>
      <c r="C42" s="7" t="s">
        <v>222</v>
      </c>
      <c r="D42" s="7" t="s">
        <v>223</v>
      </c>
      <c r="E42" s="7" t="s">
        <v>224</v>
      </c>
      <c r="F42" s="7" t="s">
        <v>225</v>
      </c>
      <c r="G42" s="8"/>
      <c r="H42" s="8"/>
      <c r="I42" s="8"/>
      <c r="J42" s="8"/>
      <c r="K42" s="8"/>
    </row>
    <row r="43" customFormat="false" ht="22.35" hidden="false" customHeight="false" outlineLevel="0" collapsed="false">
      <c r="A43" s="7" t="s">
        <v>226</v>
      </c>
      <c r="B43" s="7" t="s">
        <v>207</v>
      </c>
      <c r="C43" s="7" t="s">
        <v>227</v>
      </c>
      <c r="D43" s="7" t="s">
        <v>228</v>
      </c>
      <c r="E43" s="7" t="s">
        <v>229</v>
      </c>
      <c r="F43" s="7" t="s">
        <v>211</v>
      </c>
      <c r="G43" s="8"/>
      <c r="H43" s="8"/>
      <c r="I43" s="8"/>
      <c r="J43" s="8"/>
      <c r="K43" s="8"/>
    </row>
    <row r="44" customFormat="false" ht="15" hidden="false" customHeight="false" outlineLevel="0" collapsed="false">
      <c r="A44" s="7" t="s">
        <v>230</v>
      </c>
      <c r="B44" s="7" t="s">
        <v>207</v>
      </c>
      <c r="C44" s="7" t="s">
        <v>231</v>
      </c>
      <c r="D44" s="7" t="s">
        <v>232</v>
      </c>
      <c r="E44" s="7" t="s">
        <v>233</v>
      </c>
      <c r="F44" s="7" t="s">
        <v>211</v>
      </c>
      <c r="G44" s="8"/>
      <c r="H44" s="8"/>
      <c r="I44" s="8"/>
      <c r="J44" s="8"/>
      <c r="K44" s="8"/>
    </row>
    <row r="45" customFormat="false" ht="22.35" hidden="false" customHeight="false" outlineLevel="0" collapsed="false">
      <c r="A45" s="7" t="s">
        <v>234</v>
      </c>
      <c r="B45" s="7" t="s">
        <v>207</v>
      </c>
      <c r="C45" s="7" t="s">
        <v>235</v>
      </c>
      <c r="D45" s="7" t="s">
        <v>236</v>
      </c>
      <c r="E45" s="7" t="s">
        <v>237</v>
      </c>
      <c r="F45" s="7" t="s">
        <v>238</v>
      </c>
      <c r="G45" s="8"/>
      <c r="H45" s="8"/>
      <c r="I45" s="8"/>
      <c r="J45" s="8"/>
      <c r="K45" s="8"/>
    </row>
    <row r="46" customFormat="false" ht="22.35" hidden="false" customHeight="false" outlineLevel="0" collapsed="false">
      <c r="A46" s="7" t="s">
        <v>239</v>
      </c>
      <c r="B46" s="7" t="s">
        <v>207</v>
      </c>
      <c r="C46" s="7" t="s">
        <v>240</v>
      </c>
      <c r="D46" s="7" t="s">
        <v>241</v>
      </c>
      <c r="E46" s="7" t="s">
        <v>242</v>
      </c>
      <c r="F46" s="7" t="s">
        <v>243</v>
      </c>
      <c r="G46" s="8"/>
      <c r="H46" s="8"/>
      <c r="I46" s="8"/>
      <c r="J46" s="8"/>
      <c r="K46" s="8"/>
    </row>
    <row r="47" customFormat="false" ht="22.35" hidden="false" customHeight="false" outlineLevel="0" collapsed="false">
      <c r="A47" s="7" t="s">
        <v>244</v>
      </c>
      <c r="B47" s="7" t="s">
        <v>245</v>
      </c>
      <c r="C47" s="7" t="s">
        <v>246</v>
      </c>
      <c r="D47" s="7" t="s">
        <v>247</v>
      </c>
      <c r="E47" s="7" t="s">
        <v>248</v>
      </c>
      <c r="F47" s="7" t="s">
        <v>249</v>
      </c>
      <c r="G47" s="8"/>
      <c r="H47" s="8"/>
      <c r="I47" s="8"/>
      <c r="J47" s="8"/>
      <c r="K47" s="8"/>
    </row>
    <row r="48" customFormat="false" ht="22.35" hidden="false" customHeight="false" outlineLevel="0" collapsed="false">
      <c r="A48" s="7" t="s">
        <v>250</v>
      </c>
      <c r="B48" s="7" t="s">
        <v>245</v>
      </c>
      <c r="C48" s="7" t="s">
        <v>251</v>
      </c>
      <c r="D48" s="7" t="s">
        <v>252</v>
      </c>
      <c r="E48" s="7" t="s">
        <v>253</v>
      </c>
      <c r="F48" s="7" t="s">
        <v>254</v>
      </c>
      <c r="G48" s="8"/>
      <c r="H48" s="8"/>
      <c r="I48" s="8"/>
      <c r="J48" s="8"/>
      <c r="K48" s="8"/>
    </row>
    <row r="49" customFormat="false" ht="15" hidden="false" customHeight="false" outlineLevel="0" collapsed="false">
      <c r="A49" s="7" t="s">
        <v>255</v>
      </c>
      <c r="B49" s="7" t="s">
        <v>245</v>
      </c>
      <c r="C49" s="7" t="s">
        <v>256</v>
      </c>
      <c r="D49" s="7" t="s">
        <v>257</v>
      </c>
      <c r="E49" s="7" t="s">
        <v>258</v>
      </c>
      <c r="F49" s="7" t="s">
        <v>259</v>
      </c>
      <c r="G49" s="8"/>
      <c r="H49" s="8"/>
      <c r="I49" s="8"/>
      <c r="J49" s="8"/>
      <c r="K49" s="8"/>
    </row>
    <row r="50" customFormat="false" ht="22.35" hidden="false" customHeight="false" outlineLevel="0" collapsed="false">
      <c r="A50" s="7" t="s">
        <v>260</v>
      </c>
      <c r="B50" s="7" t="s">
        <v>245</v>
      </c>
      <c r="C50" s="7" t="s">
        <v>261</v>
      </c>
      <c r="D50" s="7" t="s">
        <v>262</v>
      </c>
      <c r="E50" s="7" t="s">
        <v>263</v>
      </c>
      <c r="F50" s="7" t="s">
        <v>264</v>
      </c>
      <c r="G50" s="8"/>
      <c r="H50" s="8"/>
      <c r="I50" s="8"/>
      <c r="J50" s="8"/>
      <c r="K50" s="8"/>
    </row>
    <row r="51" customFormat="false" ht="32.8" hidden="false" customHeight="false" outlineLevel="0" collapsed="false">
      <c r="A51" s="7" t="s">
        <v>265</v>
      </c>
      <c r="B51" s="7" t="s">
        <v>245</v>
      </c>
      <c r="C51" s="7" t="s">
        <v>266</v>
      </c>
      <c r="D51" s="7" t="s">
        <v>267</v>
      </c>
      <c r="E51" s="7" t="s">
        <v>268</v>
      </c>
      <c r="F51" s="7" t="s">
        <v>269</v>
      </c>
      <c r="G51" s="8"/>
      <c r="H51" s="8"/>
      <c r="I51" s="8"/>
      <c r="J51" s="8"/>
      <c r="K51" s="8"/>
    </row>
    <row r="52" customFormat="false" ht="22.35" hidden="false" customHeight="false" outlineLevel="0" collapsed="false">
      <c r="A52" s="7" t="s">
        <v>270</v>
      </c>
      <c r="B52" s="7" t="s">
        <v>245</v>
      </c>
      <c r="C52" s="7" t="s">
        <v>271</v>
      </c>
      <c r="D52" s="7" t="s">
        <v>272</v>
      </c>
      <c r="E52" s="7" t="s">
        <v>273</v>
      </c>
      <c r="F52" s="7" t="s">
        <v>274</v>
      </c>
      <c r="G52" s="8"/>
      <c r="H52" s="8"/>
      <c r="I52" s="8"/>
      <c r="J52" s="8"/>
      <c r="K52" s="8"/>
    </row>
    <row r="53" customFormat="false" ht="22.35" hidden="false" customHeight="false" outlineLevel="0" collapsed="false">
      <c r="A53" s="7" t="s">
        <v>275</v>
      </c>
      <c r="B53" s="7" t="s">
        <v>245</v>
      </c>
      <c r="C53" s="7" t="s">
        <v>276</v>
      </c>
      <c r="D53" s="7" t="s">
        <v>277</v>
      </c>
      <c r="E53" s="7" t="s">
        <v>278</v>
      </c>
      <c r="F53" s="7"/>
      <c r="G53" s="8"/>
      <c r="H53" s="8"/>
      <c r="I53" s="8"/>
      <c r="J53" s="8"/>
      <c r="K53" s="8"/>
    </row>
    <row r="54" customFormat="false" ht="22.35" hidden="false" customHeight="false" outlineLevel="0" collapsed="false">
      <c r="A54" s="7" t="s">
        <v>279</v>
      </c>
      <c r="B54" s="7" t="s">
        <v>245</v>
      </c>
      <c r="C54" s="7" t="s">
        <v>280</v>
      </c>
      <c r="D54" s="7" t="s">
        <v>281</v>
      </c>
      <c r="E54" s="7" t="s">
        <v>282</v>
      </c>
      <c r="F54" s="7" t="s">
        <v>274</v>
      </c>
      <c r="G54" s="8"/>
      <c r="H54" s="8"/>
      <c r="I54" s="8"/>
      <c r="J54" s="8"/>
      <c r="K54" s="8"/>
    </row>
    <row r="55" customFormat="false" ht="22.35" hidden="false" customHeight="false" outlineLevel="0" collapsed="false">
      <c r="A55" s="7" t="s">
        <v>283</v>
      </c>
      <c r="B55" s="7" t="s">
        <v>245</v>
      </c>
      <c r="C55" s="7" t="s">
        <v>284</v>
      </c>
      <c r="D55" s="7" t="s">
        <v>285</v>
      </c>
      <c r="E55" s="7" t="s">
        <v>286</v>
      </c>
      <c r="F55" s="7" t="s">
        <v>287</v>
      </c>
      <c r="G55" s="8"/>
      <c r="H55" s="8"/>
      <c r="I55" s="8"/>
      <c r="J55" s="8"/>
      <c r="K55" s="8"/>
    </row>
    <row r="56" customFormat="false" ht="22.35" hidden="false" customHeight="false" outlineLevel="0" collapsed="false">
      <c r="A56" s="7" t="s">
        <v>288</v>
      </c>
      <c r="B56" s="7" t="s">
        <v>245</v>
      </c>
      <c r="C56" s="7" t="s">
        <v>289</v>
      </c>
      <c r="D56" s="7" t="s">
        <v>290</v>
      </c>
      <c r="E56" s="7" t="s">
        <v>291</v>
      </c>
      <c r="F56" s="7" t="s">
        <v>292</v>
      </c>
      <c r="G56" s="8"/>
      <c r="H56" s="8"/>
      <c r="I56" s="8"/>
      <c r="J56" s="8"/>
      <c r="K56" s="8"/>
    </row>
    <row r="57" customFormat="false" ht="32.8" hidden="false" customHeight="false" outlineLevel="0" collapsed="false">
      <c r="A57" s="7" t="s">
        <v>293</v>
      </c>
      <c r="B57" s="7" t="s">
        <v>245</v>
      </c>
      <c r="C57" s="7" t="s">
        <v>294</v>
      </c>
      <c r="D57" s="7" t="s">
        <v>295</v>
      </c>
      <c r="E57" s="7" t="s">
        <v>296</v>
      </c>
      <c r="F57" s="7" t="s">
        <v>297</v>
      </c>
      <c r="G57" s="8"/>
      <c r="H57" s="8"/>
      <c r="I57" s="8"/>
      <c r="J57" s="8"/>
      <c r="K57" s="8"/>
    </row>
    <row r="58" customFormat="false" ht="22.35" hidden="false" customHeight="false" outlineLevel="0" collapsed="false">
      <c r="A58" s="7" t="s">
        <v>298</v>
      </c>
      <c r="B58" s="7" t="s">
        <v>245</v>
      </c>
      <c r="C58" s="7" t="s">
        <v>299</v>
      </c>
      <c r="D58" s="7" t="s">
        <v>300</v>
      </c>
      <c r="E58" s="7" t="s">
        <v>301</v>
      </c>
      <c r="F58" s="7" t="s">
        <v>302</v>
      </c>
      <c r="G58" s="8"/>
      <c r="H58" s="8"/>
      <c r="I58" s="8"/>
      <c r="J58" s="8"/>
      <c r="K58" s="8"/>
    </row>
    <row r="59" customFormat="false" ht="15" hidden="false" customHeight="false" outlineLevel="0" collapsed="false">
      <c r="A59" s="7" t="s">
        <v>303</v>
      </c>
      <c r="B59" s="7" t="s">
        <v>245</v>
      </c>
      <c r="C59" s="7" t="s">
        <v>304</v>
      </c>
      <c r="D59" s="7" t="s">
        <v>305</v>
      </c>
      <c r="E59" s="7" t="s">
        <v>306</v>
      </c>
      <c r="F59" s="7" t="s">
        <v>307</v>
      </c>
      <c r="G59" s="8"/>
      <c r="H59" s="8"/>
      <c r="I59" s="8"/>
      <c r="J59" s="8"/>
      <c r="K59" s="8"/>
    </row>
    <row r="60" customFormat="false" ht="22.35" hidden="false" customHeight="false" outlineLevel="0" collapsed="false">
      <c r="A60" s="7" t="s">
        <v>308</v>
      </c>
      <c r="B60" s="7" t="s">
        <v>245</v>
      </c>
      <c r="C60" s="7" t="s">
        <v>309</v>
      </c>
      <c r="D60" s="7" t="s">
        <v>310</v>
      </c>
      <c r="E60" s="7" t="s">
        <v>311</v>
      </c>
      <c r="F60" s="7" t="s">
        <v>312</v>
      </c>
      <c r="G60" s="8"/>
      <c r="H60" s="8"/>
      <c r="I60" s="8"/>
      <c r="J60" s="8"/>
      <c r="K60" s="8"/>
    </row>
    <row r="61" customFormat="false" ht="22.35" hidden="false" customHeight="false" outlineLevel="0" collapsed="false">
      <c r="A61" s="7" t="s">
        <v>313</v>
      </c>
      <c r="B61" s="7" t="s">
        <v>314</v>
      </c>
      <c r="C61" s="7" t="s">
        <v>315</v>
      </c>
      <c r="D61" s="7" t="s">
        <v>316</v>
      </c>
      <c r="E61" s="7" t="s">
        <v>317</v>
      </c>
      <c r="F61" s="7" t="s">
        <v>318</v>
      </c>
      <c r="G61" s="8"/>
      <c r="H61" s="8"/>
      <c r="I61" s="8"/>
      <c r="J61" s="8"/>
      <c r="K61" s="8"/>
    </row>
    <row r="62" customFormat="false" ht="22.35" hidden="false" customHeight="false" outlineLevel="0" collapsed="false">
      <c r="A62" s="7" t="s">
        <v>319</v>
      </c>
      <c r="B62" s="7" t="s">
        <v>314</v>
      </c>
      <c r="C62" s="7" t="s">
        <v>320</v>
      </c>
      <c r="D62" s="7" t="s">
        <v>321</v>
      </c>
      <c r="E62" s="7" t="s">
        <v>322</v>
      </c>
      <c r="F62" s="7" t="s">
        <v>323</v>
      </c>
      <c r="G62" s="8"/>
      <c r="H62" s="8"/>
      <c r="I62" s="8"/>
      <c r="J62" s="8"/>
      <c r="K62" s="8"/>
    </row>
    <row r="63" customFormat="false" ht="32.8" hidden="false" customHeight="false" outlineLevel="0" collapsed="false">
      <c r="A63" s="7" t="s">
        <v>324</v>
      </c>
      <c r="B63" s="7" t="s">
        <v>314</v>
      </c>
      <c r="C63" s="7" t="s">
        <v>325</v>
      </c>
      <c r="D63" s="7" t="s">
        <v>326</v>
      </c>
      <c r="E63" s="7" t="s">
        <v>327</v>
      </c>
      <c r="F63" s="7" t="s">
        <v>328</v>
      </c>
      <c r="G63" s="8"/>
      <c r="H63" s="8"/>
      <c r="I63" s="8"/>
      <c r="J63" s="8"/>
      <c r="K63" s="8"/>
    </row>
    <row r="64" customFormat="false" ht="22.35" hidden="false" customHeight="false" outlineLevel="0" collapsed="false">
      <c r="A64" s="7" t="s">
        <v>329</v>
      </c>
      <c r="B64" s="7" t="s">
        <v>314</v>
      </c>
      <c r="C64" s="7" t="s">
        <v>330</v>
      </c>
      <c r="D64" s="7" t="s">
        <v>331</v>
      </c>
      <c r="E64" s="7" t="s">
        <v>332</v>
      </c>
      <c r="F64" s="7" t="s">
        <v>333</v>
      </c>
      <c r="G64" s="8"/>
      <c r="H64" s="8"/>
      <c r="I64" s="8"/>
      <c r="J64" s="8"/>
      <c r="K64" s="8"/>
    </row>
    <row r="65" customFormat="false" ht="22.35" hidden="false" customHeight="false" outlineLevel="0" collapsed="false">
      <c r="A65" s="7" t="s">
        <v>334</v>
      </c>
      <c r="B65" s="7" t="s">
        <v>314</v>
      </c>
      <c r="C65" s="7" t="s">
        <v>335</v>
      </c>
      <c r="D65" s="7" t="s">
        <v>336</v>
      </c>
      <c r="E65" s="7" t="s">
        <v>337</v>
      </c>
      <c r="F65" s="7" t="s">
        <v>338</v>
      </c>
      <c r="G65" s="8"/>
      <c r="H65" s="8"/>
      <c r="I65" s="8"/>
      <c r="J65" s="8"/>
      <c r="K65" s="8"/>
    </row>
    <row r="66" customFormat="false" ht="43.25" hidden="false" customHeight="false" outlineLevel="0" collapsed="false">
      <c r="A66" s="7" t="s">
        <v>339</v>
      </c>
      <c r="B66" s="7" t="s">
        <v>314</v>
      </c>
      <c r="C66" s="7" t="s">
        <v>340</v>
      </c>
      <c r="D66" s="7" t="s">
        <v>341</v>
      </c>
      <c r="E66" s="7" t="s">
        <v>342</v>
      </c>
      <c r="F66" s="7" t="s">
        <v>343</v>
      </c>
      <c r="G66" s="8"/>
      <c r="H66" s="8"/>
      <c r="I66" s="8"/>
      <c r="J66" s="8"/>
      <c r="K66" s="8"/>
    </row>
    <row r="67" customFormat="false" ht="53.7" hidden="false" customHeight="false" outlineLevel="0" collapsed="false">
      <c r="A67" s="7" t="s">
        <v>344</v>
      </c>
      <c r="B67" s="7" t="s">
        <v>314</v>
      </c>
      <c r="C67" s="7" t="s">
        <v>345</v>
      </c>
      <c r="D67" s="7" t="s">
        <v>346</v>
      </c>
      <c r="E67" s="7" t="s">
        <v>347</v>
      </c>
      <c r="F67" s="7" t="s">
        <v>348</v>
      </c>
      <c r="G67" s="8"/>
      <c r="H67" s="8"/>
      <c r="I67" s="8"/>
      <c r="J67" s="8"/>
      <c r="K67" s="8"/>
    </row>
    <row r="68" customFormat="false" ht="53.7" hidden="false" customHeight="false" outlineLevel="0" collapsed="false">
      <c r="A68" s="7" t="s">
        <v>349</v>
      </c>
      <c r="B68" s="7" t="s">
        <v>314</v>
      </c>
      <c r="C68" s="7" t="s">
        <v>350</v>
      </c>
      <c r="D68" s="7" t="s">
        <v>351</v>
      </c>
      <c r="E68" s="7" t="s">
        <v>352</v>
      </c>
      <c r="F68" s="7" t="s">
        <v>353</v>
      </c>
      <c r="G68" s="8"/>
      <c r="H68" s="8"/>
      <c r="I68" s="8"/>
      <c r="J68" s="8"/>
      <c r="K68" s="8"/>
    </row>
    <row r="69" customFormat="false" ht="22.35" hidden="false" customHeight="false" outlineLevel="0" collapsed="false">
      <c r="A69" s="7" t="s">
        <v>354</v>
      </c>
      <c r="B69" s="7" t="s">
        <v>314</v>
      </c>
      <c r="C69" s="7" t="s">
        <v>355</v>
      </c>
      <c r="D69" s="7" t="s">
        <v>356</v>
      </c>
      <c r="E69" s="7" t="s">
        <v>357</v>
      </c>
      <c r="F69" s="7" t="s">
        <v>358</v>
      </c>
      <c r="G69" s="8"/>
      <c r="H69" s="8"/>
      <c r="I69" s="8"/>
      <c r="J69" s="8"/>
      <c r="K69" s="8"/>
    </row>
    <row r="70" customFormat="false" ht="15" hidden="false" customHeight="false" outlineLevel="0" collapsed="false">
      <c r="A70" s="7" t="s">
        <v>359</v>
      </c>
      <c r="B70" s="7" t="s">
        <v>314</v>
      </c>
      <c r="C70" s="7" t="s">
        <v>360</v>
      </c>
      <c r="D70" s="7" t="s">
        <v>361</v>
      </c>
      <c r="E70" s="7" t="s">
        <v>362</v>
      </c>
      <c r="F70" s="7" t="s">
        <v>363</v>
      </c>
      <c r="G70" s="8"/>
      <c r="H70" s="8"/>
      <c r="I70" s="8"/>
      <c r="J70" s="8"/>
      <c r="K70" s="8"/>
    </row>
    <row r="71" customFormat="false" ht="32.8" hidden="false" customHeight="false" outlineLevel="0" collapsed="false">
      <c r="A71" s="7" t="s">
        <v>364</v>
      </c>
      <c r="B71" s="7" t="s">
        <v>314</v>
      </c>
      <c r="C71" s="7" t="s">
        <v>365</v>
      </c>
      <c r="D71" s="7" t="s">
        <v>366</v>
      </c>
      <c r="E71" s="7" t="s">
        <v>367</v>
      </c>
      <c r="F71" s="7" t="s">
        <v>368</v>
      </c>
      <c r="G71" s="8"/>
      <c r="H71" s="8"/>
      <c r="I71" s="8"/>
      <c r="J71" s="8"/>
      <c r="K71" s="8"/>
    </row>
    <row r="72" customFormat="false" ht="64.15" hidden="false" customHeight="false" outlineLevel="0" collapsed="false">
      <c r="A72" s="7" t="s">
        <v>369</v>
      </c>
      <c r="B72" s="7" t="s">
        <v>314</v>
      </c>
      <c r="C72" s="7" t="s">
        <v>370</v>
      </c>
      <c r="D72" s="7" t="s">
        <v>371</v>
      </c>
      <c r="E72" s="7" t="s">
        <v>372</v>
      </c>
      <c r="F72" s="7" t="s">
        <v>373</v>
      </c>
      <c r="G72" s="8"/>
      <c r="H72" s="8"/>
      <c r="I72" s="8"/>
      <c r="J72" s="8"/>
      <c r="K72" s="8"/>
    </row>
    <row r="73" customFormat="false" ht="22.35" hidden="false" customHeight="false" outlineLevel="0" collapsed="false">
      <c r="A73" s="7" t="s">
        <v>374</v>
      </c>
      <c r="B73" s="7" t="s">
        <v>314</v>
      </c>
      <c r="C73" s="7" t="s">
        <v>375</v>
      </c>
      <c r="D73" s="7" t="s">
        <v>376</v>
      </c>
      <c r="E73" s="7" t="s">
        <v>377</v>
      </c>
      <c r="F73" s="7" t="s">
        <v>378</v>
      </c>
      <c r="G73" s="8"/>
      <c r="H73" s="8"/>
      <c r="I73" s="8"/>
      <c r="J73" s="8"/>
      <c r="K73" s="8"/>
    </row>
    <row r="74" customFormat="false" ht="32.8" hidden="false" customHeight="false" outlineLevel="0" collapsed="false">
      <c r="A74" s="7" t="s">
        <v>379</v>
      </c>
      <c r="B74" s="7" t="s">
        <v>314</v>
      </c>
      <c r="C74" s="7" t="s">
        <v>380</v>
      </c>
      <c r="D74" s="7" t="s">
        <v>381</v>
      </c>
      <c r="E74" s="7" t="s">
        <v>382</v>
      </c>
      <c r="F74" s="7" t="s">
        <v>383</v>
      </c>
      <c r="G74" s="8"/>
      <c r="H74" s="8"/>
      <c r="I74" s="8"/>
      <c r="J74" s="8"/>
      <c r="K74" s="8"/>
    </row>
    <row r="75" customFormat="false" ht="43.25" hidden="false" customHeight="false" outlineLevel="0" collapsed="false">
      <c r="A75" s="7" t="s">
        <v>384</v>
      </c>
      <c r="B75" s="7" t="s">
        <v>314</v>
      </c>
      <c r="C75" s="7" t="s">
        <v>385</v>
      </c>
      <c r="D75" s="7" t="s">
        <v>386</v>
      </c>
      <c r="E75" s="7" t="s">
        <v>387</v>
      </c>
      <c r="F75" s="7" t="s">
        <v>388</v>
      </c>
      <c r="G75" s="8"/>
      <c r="H75" s="8"/>
      <c r="I75" s="8"/>
      <c r="J75" s="8"/>
      <c r="K75" s="8"/>
    </row>
    <row r="76" customFormat="false" ht="64.15" hidden="false" customHeight="false" outlineLevel="0" collapsed="false">
      <c r="A76" s="7" t="s">
        <v>389</v>
      </c>
      <c r="B76" s="7" t="s">
        <v>314</v>
      </c>
      <c r="C76" s="7" t="s">
        <v>390</v>
      </c>
      <c r="D76" s="7" t="s">
        <v>391</v>
      </c>
      <c r="E76" s="7" t="s">
        <v>392</v>
      </c>
      <c r="F76" s="7" t="s">
        <v>393</v>
      </c>
      <c r="G76" s="8"/>
      <c r="H76" s="8"/>
      <c r="I76" s="8"/>
      <c r="J76" s="8"/>
      <c r="K76" s="8"/>
    </row>
    <row r="77" customFormat="false" ht="43.25" hidden="false" customHeight="false" outlineLevel="0" collapsed="false">
      <c r="A77" s="7" t="s">
        <v>394</v>
      </c>
      <c r="B77" s="7" t="s">
        <v>314</v>
      </c>
      <c r="C77" s="7" t="s">
        <v>395</v>
      </c>
      <c r="D77" s="7" t="s">
        <v>396</v>
      </c>
      <c r="E77" s="7" t="s">
        <v>397</v>
      </c>
      <c r="F77" s="7" t="s">
        <v>398</v>
      </c>
      <c r="G77" s="8"/>
      <c r="H77" s="8"/>
      <c r="I77" s="8"/>
      <c r="J77" s="8"/>
      <c r="K77" s="8"/>
    </row>
    <row r="78" customFormat="false" ht="22.35" hidden="false" customHeight="false" outlineLevel="0" collapsed="false">
      <c r="A78" s="7" t="s">
        <v>399</v>
      </c>
      <c r="B78" s="7" t="s">
        <v>314</v>
      </c>
      <c r="C78" s="7" t="s">
        <v>400</v>
      </c>
      <c r="D78" s="7" t="s">
        <v>401</v>
      </c>
      <c r="E78" s="7" t="s">
        <v>402</v>
      </c>
      <c r="F78" s="7" t="s">
        <v>97</v>
      </c>
      <c r="G78" s="8"/>
      <c r="H78" s="8"/>
      <c r="I78" s="8"/>
      <c r="J78" s="8"/>
      <c r="K78" s="8"/>
    </row>
    <row r="79" customFormat="false" ht="32.8" hidden="false" customHeight="false" outlineLevel="0" collapsed="false">
      <c r="A79" s="7" t="s">
        <v>403</v>
      </c>
      <c r="B79" s="7" t="s">
        <v>314</v>
      </c>
      <c r="C79" s="7" t="s">
        <v>404</v>
      </c>
      <c r="D79" s="7" t="s">
        <v>405</v>
      </c>
      <c r="E79" s="7" t="s">
        <v>406</v>
      </c>
      <c r="F79" s="7" t="s">
        <v>407</v>
      </c>
      <c r="G79" s="8"/>
      <c r="H79" s="8"/>
      <c r="I79" s="8"/>
      <c r="J79" s="8"/>
      <c r="K79" s="8"/>
    </row>
    <row r="80" customFormat="false" ht="32.8" hidden="false" customHeight="false" outlineLevel="0" collapsed="false">
      <c r="A80" s="7" t="s">
        <v>408</v>
      </c>
      <c r="B80" s="7" t="s">
        <v>314</v>
      </c>
      <c r="C80" s="7" t="s">
        <v>409</v>
      </c>
      <c r="D80" s="7" t="s">
        <v>410</v>
      </c>
      <c r="E80" s="7" t="s">
        <v>411</v>
      </c>
      <c r="F80" s="7" t="s">
        <v>412</v>
      </c>
      <c r="G80" s="8"/>
      <c r="H80" s="8"/>
      <c r="I80" s="8"/>
      <c r="J80" s="8"/>
      <c r="K80" s="8"/>
    </row>
    <row r="81" customFormat="false" ht="22.35" hidden="false" customHeight="false" outlineLevel="0" collapsed="false">
      <c r="A81" s="7" t="s">
        <v>413</v>
      </c>
      <c r="B81" s="7" t="s">
        <v>314</v>
      </c>
      <c r="C81" s="7" t="s">
        <v>414</v>
      </c>
      <c r="D81" s="7" t="s">
        <v>415</v>
      </c>
      <c r="E81" s="7" t="s">
        <v>416</v>
      </c>
      <c r="F81" s="7" t="s">
        <v>417</v>
      </c>
      <c r="G81" s="8"/>
      <c r="H81" s="8"/>
      <c r="I81" s="8"/>
      <c r="J81" s="8"/>
      <c r="K81" s="8"/>
    </row>
    <row r="82" customFormat="false" ht="15" hidden="false" customHeight="false" outlineLevel="0" collapsed="false">
      <c r="A82" s="7" t="s">
        <v>418</v>
      </c>
      <c r="B82" s="7" t="s">
        <v>314</v>
      </c>
      <c r="C82" s="7" t="s">
        <v>419</v>
      </c>
      <c r="D82" s="7" t="s">
        <v>420</v>
      </c>
      <c r="E82" s="7" t="s">
        <v>421</v>
      </c>
      <c r="F82" s="7" t="s">
        <v>422</v>
      </c>
      <c r="G82" s="8"/>
      <c r="H82" s="8"/>
      <c r="I82" s="8"/>
      <c r="J82" s="8"/>
      <c r="K82" s="8"/>
    </row>
    <row r="83" customFormat="false" ht="22.35" hidden="false" customHeight="false" outlineLevel="0" collapsed="false">
      <c r="A83" s="7" t="s">
        <v>423</v>
      </c>
      <c r="B83" s="7" t="s">
        <v>314</v>
      </c>
      <c r="C83" s="7" t="s">
        <v>424</v>
      </c>
      <c r="D83" s="7" t="s">
        <v>425</v>
      </c>
      <c r="E83" s="7" t="s">
        <v>426</v>
      </c>
      <c r="F83" s="7" t="s">
        <v>427</v>
      </c>
      <c r="G83" s="8"/>
      <c r="H83" s="8"/>
      <c r="I83" s="8"/>
      <c r="J83" s="8"/>
      <c r="K83" s="8"/>
    </row>
    <row r="84" customFormat="false" ht="22.35" hidden="false" customHeight="false" outlineLevel="0" collapsed="false">
      <c r="A84" s="7" t="s">
        <v>428</v>
      </c>
      <c r="B84" s="7" t="s">
        <v>314</v>
      </c>
      <c r="C84" s="7" t="s">
        <v>429</v>
      </c>
      <c r="D84" s="7" t="s">
        <v>430</v>
      </c>
      <c r="E84" s="7" t="s">
        <v>431</v>
      </c>
      <c r="F84" s="7" t="s">
        <v>432</v>
      </c>
      <c r="G84" s="8"/>
      <c r="H84" s="8"/>
      <c r="I84" s="8"/>
      <c r="J84" s="8"/>
      <c r="K84" s="8"/>
    </row>
    <row r="85" customFormat="false" ht="15" hidden="false" customHeight="false" outlineLevel="0" collapsed="false">
      <c r="A85" s="7" t="s">
        <v>433</v>
      </c>
      <c r="B85" s="7" t="s">
        <v>314</v>
      </c>
      <c r="C85" s="7" t="s">
        <v>434</v>
      </c>
      <c r="D85" s="7" t="s">
        <v>435</v>
      </c>
      <c r="E85" s="7" t="s">
        <v>436</v>
      </c>
      <c r="F85" s="7" t="s">
        <v>437</v>
      </c>
      <c r="G85" s="8"/>
      <c r="H85" s="8"/>
      <c r="I85" s="8"/>
      <c r="J85" s="8"/>
      <c r="K85" s="8"/>
    </row>
    <row r="86" customFormat="false" ht="32.8" hidden="false" customHeight="false" outlineLevel="0" collapsed="false">
      <c r="A86" s="7" t="s">
        <v>438</v>
      </c>
      <c r="B86" s="7" t="s">
        <v>314</v>
      </c>
      <c r="C86" s="7" t="s">
        <v>439</v>
      </c>
      <c r="D86" s="7" t="s">
        <v>440</v>
      </c>
      <c r="E86" s="7" t="s">
        <v>441</v>
      </c>
      <c r="F86" s="7" t="s">
        <v>442</v>
      </c>
      <c r="G86" s="8"/>
      <c r="H86" s="8"/>
      <c r="I86" s="8"/>
      <c r="J86" s="8"/>
      <c r="K86" s="8"/>
    </row>
    <row r="87" customFormat="false" ht="22.35" hidden="false" customHeight="false" outlineLevel="0" collapsed="false">
      <c r="A87" s="7" t="s">
        <v>443</v>
      </c>
      <c r="B87" s="7" t="s">
        <v>314</v>
      </c>
      <c r="C87" s="7" t="s">
        <v>444</v>
      </c>
      <c r="D87" s="7" t="s">
        <v>445</v>
      </c>
      <c r="E87" s="7" t="s">
        <v>446</v>
      </c>
      <c r="F87" s="7" t="s">
        <v>447</v>
      </c>
      <c r="G87" s="8"/>
      <c r="H87" s="8"/>
      <c r="I87" s="8"/>
      <c r="J87" s="8"/>
      <c r="K87" s="8"/>
    </row>
    <row r="88" customFormat="false" ht="22.35" hidden="false" customHeight="false" outlineLevel="0" collapsed="false">
      <c r="A88" s="7" t="s">
        <v>448</v>
      </c>
      <c r="B88" s="7" t="s">
        <v>314</v>
      </c>
      <c r="C88" s="7" t="s">
        <v>449</v>
      </c>
      <c r="D88" s="7" t="s">
        <v>450</v>
      </c>
      <c r="E88" s="7" t="s">
        <v>451</v>
      </c>
      <c r="F88" s="7" t="s">
        <v>452</v>
      </c>
      <c r="G88" s="8"/>
      <c r="H88" s="8"/>
      <c r="I88" s="8"/>
      <c r="J88" s="8"/>
      <c r="K88" s="8"/>
    </row>
    <row r="89" customFormat="false" ht="15" hidden="false" customHeight="false" outlineLevel="0" collapsed="false">
      <c r="A89" s="7" t="s">
        <v>453</v>
      </c>
      <c r="B89" s="7" t="s">
        <v>314</v>
      </c>
      <c r="C89" s="7" t="s">
        <v>454</v>
      </c>
      <c r="D89" s="7" t="s">
        <v>455</v>
      </c>
      <c r="E89" s="7" t="s">
        <v>456</v>
      </c>
      <c r="F89" s="7" t="s">
        <v>457</v>
      </c>
      <c r="G89" s="8"/>
      <c r="H89" s="8"/>
      <c r="I89" s="8"/>
      <c r="J89" s="8"/>
      <c r="K89" s="8"/>
    </row>
    <row r="90" customFormat="false" ht="32.8" hidden="false" customHeight="false" outlineLevel="0" collapsed="false">
      <c r="A90" s="7" t="s">
        <v>458</v>
      </c>
      <c r="B90" s="7" t="s">
        <v>314</v>
      </c>
      <c r="C90" s="7" t="s">
        <v>459</v>
      </c>
      <c r="D90" s="7" t="s">
        <v>460</v>
      </c>
      <c r="E90" s="7" t="s">
        <v>461</v>
      </c>
      <c r="F90" s="7" t="s">
        <v>462</v>
      </c>
      <c r="G90" s="8"/>
      <c r="H90" s="8"/>
      <c r="I90" s="8"/>
      <c r="J90" s="8"/>
      <c r="K90" s="8"/>
    </row>
    <row r="91" customFormat="false" ht="22.35" hidden="false" customHeight="false" outlineLevel="0" collapsed="false">
      <c r="A91" s="7" t="s">
        <v>463</v>
      </c>
      <c r="B91" s="7" t="s">
        <v>314</v>
      </c>
      <c r="C91" s="7" t="s">
        <v>464</v>
      </c>
      <c r="D91" s="7" t="s">
        <v>465</v>
      </c>
      <c r="E91" s="7" t="s">
        <v>466</v>
      </c>
      <c r="F91" s="7" t="s">
        <v>467</v>
      </c>
      <c r="G91" s="8"/>
      <c r="H91" s="8"/>
      <c r="I91" s="8"/>
      <c r="J91" s="8"/>
      <c r="K91" s="8"/>
    </row>
    <row r="92" customFormat="false" ht="43.25" hidden="false" customHeight="false" outlineLevel="0" collapsed="false">
      <c r="A92" s="7" t="s">
        <v>468</v>
      </c>
      <c r="B92" s="7" t="s">
        <v>314</v>
      </c>
      <c r="C92" s="7" t="s">
        <v>469</v>
      </c>
      <c r="D92" s="7" t="s">
        <v>470</v>
      </c>
      <c r="E92" s="7" t="s">
        <v>471</v>
      </c>
      <c r="F92" s="7" t="s">
        <v>472</v>
      </c>
      <c r="G92" s="8"/>
      <c r="H92" s="8"/>
      <c r="I92" s="8"/>
      <c r="J92" s="8"/>
      <c r="K92" s="8"/>
    </row>
    <row r="93" customFormat="false" ht="22.35" hidden="false" customHeight="false" outlineLevel="0" collapsed="false">
      <c r="A93" s="7" t="s">
        <v>473</v>
      </c>
      <c r="B93" s="7" t="s">
        <v>314</v>
      </c>
      <c r="C93" s="7" t="s">
        <v>474</v>
      </c>
      <c r="D93" s="7" t="s">
        <v>475</v>
      </c>
      <c r="E93" s="7" t="s">
        <v>476</v>
      </c>
      <c r="F93" s="7" t="s">
        <v>477</v>
      </c>
      <c r="G93" s="8"/>
      <c r="H93" s="8"/>
      <c r="I93" s="8"/>
      <c r="J93" s="8"/>
      <c r="K93" s="8"/>
    </row>
    <row r="94" customFormat="false" ht="22.35" hidden="false" customHeight="false" outlineLevel="0" collapsed="false">
      <c r="A94" s="7" t="s">
        <v>478</v>
      </c>
      <c r="B94" s="7" t="s">
        <v>314</v>
      </c>
      <c r="C94" s="7" t="s">
        <v>479</v>
      </c>
      <c r="D94" s="7" t="s">
        <v>480</v>
      </c>
      <c r="E94" s="7" t="s">
        <v>481</v>
      </c>
      <c r="F94" s="7" t="s">
        <v>482</v>
      </c>
      <c r="G94" s="8"/>
      <c r="H94" s="8"/>
      <c r="I94" s="8"/>
      <c r="J94" s="8"/>
      <c r="K94" s="8"/>
    </row>
  </sheetData>
  <autoFilter ref="A1:K94"/>
  <dataValidations count="2">
    <dataValidation allowBlank="true" errorStyle="stop" operator="between" showDropDown="false" showErrorMessage="false" showInputMessage="false" sqref="G2:G94" type="list">
      <formula1>"Sim,Não"</formula1>
      <formula2>0</formula2>
    </dataValidation>
    <dataValidation allowBlank="true" errorStyle="stop" operator="between" showDropDown="false" showErrorMessage="false" showInputMessage="false" sqref="I2:I94" type="list">
      <formula1>"Sim,Parcial,Não"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9" t="s">
        <v>483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35.05" hidden="false" customHeight="false" outlineLevel="0" collapsed="false">
      <c r="A2" s="6" t="s">
        <v>484</v>
      </c>
      <c r="B2" s="6" t="s">
        <v>485</v>
      </c>
      <c r="C2" s="6" t="s">
        <v>486</v>
      </c>
      <c r="D2" s="6" t="s">
        <v>487</v>
      </c>
      <c r="E2" s="6" t="s">
        <v>488</v>
      </c>
      <c r="F2" s="6" t="s">
        <v>489</v>
      </c>
      <c r="G2" s="6" t="s">
        <v>490</v>
      </c>
      <c r="H2" s="6" t="s">
        <v>491</v>
      </c>
      <c r="I2" s="6" t="s">
        <v>492</v>
      </c>
      <c r="J2" s="6" t="s">
        <v>493</v>
      </c>
      <c r="K2" s="6" t="s">
        <v>494</v>
      </c>
      <c r="L2" s="6" t="s">
        <v>495</v>
      </c>
    </row>
    <row r="3" customFormat="false" ht="22.35" hidden="false" customHeight="false" outlineLevel="0" collapsed="false">
      <c r="A3" s="10" t="n">
        <v>1</v>
      </c>
      <c r="B3" s="10" t="s">
        <v>496</v>
      </c>
      <c r="C3" s="10" t="s">
        <v>497</v>
      </c>
      <c r="D3" s="10" t="n">
        <v>3</v>
      </c>
      <c r="E3" s="10" t="n">
        <v>5</v>
      </c>
      <c r="F3" s="11" t="n">
        <f aca="false">IF(AND(ISNUMBER(D3),ISNUMBER(E3)),D3*E3,"")</f>
        <v>15</v>
      </c>
      <c r="G3" s="11" t="str">
        <f aca="false">IF(F3="","",IF(F3&gt;=15,"Elevado",IF(F3&gt;=8,"Médio","Baixo")))</f>
        <v>Elevado</v>
      </c>
      <c r="H3" s="10" t="s">
        <v>498</v>
      </c>
      <c r="I3" s="10" t="s">
        <v>499</v>
      </c>
      <c r="J3" s="10" t="s">
        <v>500</v>
      </c>
      <c r="K3" s="10" t="s">
        <v>501</v>
      </c>
      <c r="L3" s="10" t="s">
        <v>502</v>
      </c>
    </row>
    <row r="4" customFormat="false" ht="15" hidden="false" customHeight="false" outlineLevel="0" collapsed="false">
      <c r="A4" s="12" t="n">
        <v>2</v>
      </c>
      <c r="B4" s="12"/>
      <c r="C4" s="12"/>
      <c r="D4" s="12"/>
      <c r="E4" s="12"/>
      <c r="F4" s="13" t="str">
        <f aca="false">IF(AND(ISNUMBER(D4),ISNUMBER(E4)),D4*E4,"")</f>
        <v/>
      </c>
      <c r="G4" s="13" t="str">
        <f aca="false">IF(F4="","",IF(F4&gt;=15,"Elevado",IF(F4&gt;=8,"Médio","Baixo")))</f>
        <v/>
      </c>
      <c r="H4" s="12"/>
      <c r="I4" s="12"/>
      <c r="J4" s="12"/>
      <c r="K4" s="12"/>
      <c r="L4" s="12"/>
    </row>
    <row r="5" customFormat="false" ht="15" hidden="false" customHeight="false" outlineLevel="0" collapsed="false">
      <c r="A5" s="12" t="n">
        <v>3</v>
      </c>
      <c r="B5" s="12"/>
      <c r="C5" s="12"/>
      <c r="D5" s="12"/>
      <c r="E5" s="12"/>
      <c r="F5" s="13" t="str">
        <f aca="false">IF(AND(ISNUMBER(D5),ISNUMBER(E5)),D5*E5,"")</f>
        <v/>
      </c>
      <c r="G5" s="13" t="str">
        <f aca="false">IF(F5="","",IF(F5&gt;=15,"Elevado",IF(F5&gt;=8,"Médio","Baixo")))</f>
        <v/>
      </c>
      <c r="H5" s="12"/>
      <c r="I5" s="12"/>
      <c r="J5" s="12"/>
      <c r="K5" s="12"/>
      <c r="L5" s="12"/>
    </row>
    <row r="6" customFormat="false" ht="15" hidden="false" customHeight="false" outlineLevel="0" collapsed="false">
      <c r="A6" s="12" t="n">
        <v>4</v>
      </c>
      <c r="B6" s="12"/>
      <c r="C6" s="12"/>
      <c r="D6" s="12"/>
      <c r="E6" s="12"/>
      <c r="F6" s="13" t="str">
        <f aca="false">IF(AND(ISNUMBER(D6),ISNUMBER(E6)),D6*E6,"")</f>
        <v/>
      </c>
      <c r="G6" s="13" t="str">
        <f aca="false">IF(F6="","",IF(F6&gt;=15,"Elevado",IF(F6&gt;=8,"Médio","Baixo")))</f>
        <v/>
      </c>
      <c r="H6" s="12"/>
      <c r="I6" s="12"/>
      <c r="J6" s="12"/>
      <c r="K6" s="12"/>
      <c r="L6" s="12"/>
    </row>
    <row r="7" customFormat="false" ht="15" hidden="false" customHeight="false" outlineLevel="0" collapsed="false">
      <c r="A7" s="12" t="n">
        <v>5</v>
      </c>
      <c r="B7" s="12"/>
      <c r="C7" s="12"/>
      <c r="D7" s="12"/>
      <c r="E7" s="12"/>
      <c r="F7" s="13" t="str">
        <f aca="false">IF(AND(ISNUMBER(D7),ISNUMBER(E7)),D7*E7,"")</f>
        <v/>
      </c>
      <c r="G7" s="13" t="str">
        <f aca="false">IF(F7="","",IF(F7&gt;=15,"Elevado",IF(F7&gt;=8,"Médio","Baixo")))</f>
        <v/>
      </c>
      <c r="H7" s="12"/>
      <c r="I7" s="12"/>
      <c r="J7" s="12"/>
      <c r="K7" s="12"/>
      <c r="L7" s="12"/>
    </row>
    <row r="8" customFormat="false" ht="15" hidden="false" customHeight="false" outlineLevel="0" collapsed="false">
      <c r="A8" s="12" t="n">
        <v>6</v>
      </c>
      <c r="B8" s="12"/>
      <c r="C8" s="12"/>
      <c r="D8" s="12"/>
      <c r="E8" s="12"/>
      <c r="F8" s="13" t="str">
        <f aca="false">IF(AND(ISNUMBER(D8),ISNUMBER(E8)),D8*E8,"")</f>
        <v/>
      </c>
      <c r="G8" s="13" t="str">
        <f aca="false">IF(F8="","",IF(F8&gt;=15,"Elevado",IF(F8&gt;=8,"Médio","Baixo")))</f>
        <v/>
      </c>
      <c r="H8" s="12"/>
      <c r="I8" s="12"/>
      <c r="J8" s="12"/>
      <c r="K8" s="12"/>
      <c r="L8" s="12"/>
    </row>
    <row r="9" customFormat="false" ht="15" hidden="false" customHeight="false" outlineLevel="0" collapsed="false">
      <c r="A9" s="12" t="n">
        <v>7</v>
      </c>
      <c r="B9" s="12"/>
      <c r="C9" s="12"/>
      <c r="D9" s="12"/>
      <c r="E9" s="12"/>
      <c r="F9" s="13" t="str">
        <f aca="false">IF(AND(ISNUMBER(D9),ISNUMBER(E9)),D9*E9,"")</f>
        <v/>
      </c>
      <c r="G9" s="13" t="str">
        <f aca="false">IF(F9="","",IF(F9&gt;=15,"Elevado",IF(F9&gt;=8,"Médio","Baixo")))</f>
        <v/>
      </c>
      <c r="H9" s="12"/>
      <c r="I9" s="12"/>
      <c r="J9" s="12"/>
      <c r="K9" s="12"/>
      <c r="L9" s="12"/>
    </row>
    <row r="10" customFormat="false" ht="15" hidden="false" customHeight="false" outlineLevel="0" collapsed="false">
      <c r="A10" s="12" t="n">
        <v>8</v>
      </c>
      <c r="B10" s="12"/>
      <c r="C10" s="12"/>
      <c r="D10" s="12"/>
      <c r="E10" s="12"/>
      <c r="F10" s="13" t="str">
        <f aca="false">IF(AND(ISNUMBER(D10),ISNUMBER(E10)),D10*E10,"")</f>
        <v/>
      </c>
      <c r="G10" s="13" t="str">
        <f aca="false">IF(F10="","",IF(F10&gt;=15,"Elevado",IF(F10&gt;=8,"Médio","Baixo")))</f>
        <v/>
      </c>
      <c r="H10" s="12"/>
      <c r="I10" s="12"/>
      <c r="J10" s="12"/>
      <c r="K10" s="12"/>
      <c r="L10" s="12"/>
    </row>
    <row r="11" customFormat="false" ht="15" hidden="false" customHeight="false" outlineLevel="0" collapsed="false">
      <c r="A11" s="12" t="n">
        <v>9</v>
      </c>
      <c r="B11" s="12"/>
      <c r="C11" s="12"/>
      <c r="D11" s="12"/>
      <c r="E11" s="12"/>
      <c r="F11" s="13" t="str">
        <f aca="false">IF(AND(ISNUMBER(D11),ISNUMBER(E11)),D11*E11,"")</f>
        <v/>
      </c>
      <c r="G11" s="13" t="str">
        <f aca="false">IF(F11="","",IF(F11&gt;=15,"Elevado",IF(F11&gt;=8,"Médio","Baixo")))</f>
        <v/>
      </c>
      <c r="H11" s="12"/>
      <c r="I11" s="12"/>
      <c r="J11" s="12"/>
      <c r="K11" s="12"/>
      <c r="L11" s="12"/>
    </row>
    <row r="12" customFormat="false" ht="15" hidden="false" customHeight="false" outlineLevel="0" collapsed="false">
      <c r="A12" s="12" t="n">
        <v>10</v>
      </c>
      <c r="B12" s="12"/>
      <c r="C12" s="12"/>
      <c r="D12" s="12"/>
      <c r="E12" s="12"/>
      <c r="F12" s="13" t="str">
        <f aca="false">IF(AND(ISNUMBER(D12),ISNUMBER(E12)),D12*E12,"")</f>
        <v/>
      </c>
      <c r="G12" s="13" t="str">
        <f aca="false">IF(F12="","",IF(F12&gt;=15,"Elevado",IF(F12&gt;=8,"Médio","Baixo")))</f>
        <v/>
      </c>
      <c r="H12" s="12"/>
      <c r="I12" s="12"/>
      <c r="J12" s="12"/>
      <c r="K12" s="12"/>
      <c r="L12" s="12"/>
    </row>
    <row r="13" customFormat="false" ht="15" hidden="false" customHeight="false" outlineLevel="0" collapsed="false">
      <c r="A13" s="12" t="n">
        <v>11</v>
      </c>
      <c r="B13" s="12"/>
      <c r="C13" s="12"/>
      <c r="D13" s="12"/>
      <c r="E13" s="12"/>
      <c r="F13" s="13" t="str">
        <f aca="false">IF(AND(ISNUMBER(D13),ISNUMBER(E13)),D13*E13,"")</f>
        <v/>
      </c>
      <c r="G13" s="13" t="str">
        <f aca="false">IF(F13="","",IF(F13&gt;=15,"Elevado",IF(F13&gt;=8,"Médio","Baixo")))</f>
        <v/>
      </c>
      <c r="H13" s="12"/>
      <c r="I13" s="12"/>
      <c r="J13" s="12"/>
      <c r="K13" s="12"/>
      <c r="L13" s="12"/>
    </row>
    <row r="14" customFormat="false" ht="15" hidden="false" customHeight="false" outlineLevel="0" collapsed="false">
      <c r="A14" s="12" t="n">
        <v>12</v>
      </c>
      <c r="B14" s="12"/>
      <c r="C14" s="12"/>
      <c r="D14" s="12"/>
      <c r="E14" s="12"/>
      <c r="F14" s="13" t="str">
        <f aca="false">IF(AND(ISNUMBER(D14),ISNUMBER(E14)),D14*E14,"")</f>
        <v/>
      </c>
      <c r="G14" s="13" t="str">
        <f aca="false">IF(F14="","",IF(F14&gt;=15,"Elevado",IF(F14&gt;=8,"Médio","Baixo")))</f>
        <v/>
      </c>
      <c r="H14" s="12"/>
      <c r="I14" s="12"/>
      <c r="J14" s="12"/>
      <c r="K14" s="12"/>
      <c r="L14" s="12"/>
    </row>
    <row r="15" customFormat="false" ht="15" hidden="false" customHeight="false" outlineLevel="0" collapsed="false">
      <c r="A15" s="12" t="n">
        <v>13</v>
      </c>
      <c r="B15" s="12"/>
      <c r="C15" s="12"/>
      <c r="D15" s="12"/>
      <c r="E15" s="12"/>
      <c r="F15" s="13" t="str">
        <f aca="false">IF(AND(ISNUMBER(D15),ISNUMBER(E15)),D15*E15,"")</f>
        <v/>
      </c>
      <c r="G15" s="13" t="str">
        <f aca="false">IF(F15="","",IF(F15&gt;=15,"Elevado",IF(F15&gt;=8,"Médio","Baixo")))</f>
        <v/>
      </c>
      <c r="H15" s="12"/>
      <c r="I15" s="12"/>
      <c r="J15" s="12"/>
      <c r="K15" s="12"/>
      <c r="L15" s="12"/>
    </row>
    <row r="16" customFormat="false" ht="15" hidden="false" customHeight="false" outlineLevel="0" collapsed="false">
      <c r="A16" s="12" t="n">
        <v>14</v>
      </c>
      <c r="B16" s="12"/>
      <c r="C16" s="12"/>
      <c r="D16" s="12"/>
      <c r="E16" s="12"/>
      <c r="F16" s="13" t="str">
        <f aca="false">IF(AND(ISNUMBER(D16),ISNUMBER(E16)),D16*E16,"")</f>
        <v/>
      </c>
      <c r="G16" s="13" t="str">
        <f aca="false">IF(F16="","",IF(F16&gt;=15,"Elevado",IF(F16&gt;=8,"Médio","Baixo")))</f>
        <v/>
      </c>
      <c r="H16" s="12"/>
      <c r="I16" s="12"/>
      <c r="J16" s="12"/>
      <c r="K16" s="12"/>
      <c r="L16" s="12"/>
    </row>
    <row r="17" customFormat="false" ht="15" hidden="false" customHeight="false" outlineLevel="0" collapsed="false">
      <c r="A17" s="12" t="n">
        <v>15</v>
      </c>
      <c r="B17" s="12"/>
      <c r="C17" s="12"/>
      <c r="D17" s="12"/>
      <c r="E17" s="12"/>
      <c r="F17" s="13" t="str">
        <f aca="false">IF(AND(ISNUMBER(D17),ISNUMBER(E17)),D17*E17,"")</f>
        <v/>
      </c>
      <c r="G17" s="13" t="str">
        <f aca="false">IF(F17="","",IF(F17&gt;=15,"Elevado",IF(F17&gt;=8,"Médio","Baixo")))</f>
        <v/>
      </c>
      <c r="H17" s="12"/>
      <c r="I17" s="12"/>
      <c r="J17" s="12"/>
      <c r="K17" s="12"/>
      <c r="L17" s="12"/>
    </row>
    <row r="18" customFormat="false" ht="15" hidden="false" customHeight="false" outlineLevel="0" collapsed="false">
      <c r="A18" s="12" t="n">
        <v>16</v>
      </c>
      <c r="B18" s="12"/>
      <c r="C18" s="12"/>
      <c r="D18" s="12"/>
      <c r="E18" s="12"/>
      <c r="F18" s="13" t="str">
        <f aca="false">IF(AND(ISNUMBER(D18),ISNUMBER(E18)),D18*E18,"")</f>
        <v/>
      </c>
      <c r="G18" s="13" t="str">
        <f aca="false">IF(F18="","",IF(F18&gt;=15,"Elevado",IF(F18&gt;=8,"Médio","Baixo")))</f>
        <v/>
      </c>
      <c r="H18" s="12"/>
      <c r="I18" s="12"/>
      <c r="J18" s="12"/>
      <c r="K18" s="12"/>
      <c r="L18" s="12"/>
    </row>
    <row r="19" customFormat="false" ht="15" hidden="false" customHeight="false" outlineLevel="0" collapsed="false">
      <c r="A19" s="12" t="n">
        <v>17</v>
      </c>
      <c r="B19" s="12"/>
      <c r="C19" s="12"/>
      <c r="D19" s="12"/>
      <c r="E19" s="12"/>
      <c r="F19" s="13" t="str">
        <f aca="false">IF(AND(ISNUMBER(D19),ISNUMBER(E19)),D19*E19,"")</f>
        <v/>
      </c>
      <c r="G19" s="13" t="str">
        <f aca="false">IF(F19="","",IF(F19&gt;=15,"Elevado",IF(F19&gt;=8,"Médio","Baixo")))</f>
        <v/>
      </c>
      <c r="H19" s="12"/>
      <c r="I19" s="12"/>
      <c r="J19" s="12"/>
      <c r="K19" s="12"/>
      <c r="L19" s="12"/>
    </row>
    <row r="20" customFormat="false" ht="15" hidden="false" customHeight="false" outlineLevel="0" collapsed="false">
      <c r="A20" s="12" t="n">
        <v>18</v>
      </c>
      <c r="B20" s="12"/>
      <c r="C20" s="12"/>
      <c r="D20" s="12"/>
      <c r="E20" s="12"/>
      <c r="F20" s="13" t="str">
        <f aca="false">IF(AND(ISNUMBER(D20),ISNUMBER(E20)),D20*E20,"")</f>
        <v/>
      </c>
      <c r="G20" s="13" t="str">
        <f aca="false">IF(F20="","",IF(F20&gt;=15,"Elevado",IF(F20&gt;=8,"Médio","Baixo")))</f>
        <v/>
      </c>
      <c r="H20" s="12"/>
      <c r="I20" s="12"/>
      <c r="J20" s="12"/>
      <c r="K20" s="12"/>
      <c r="L20" s="12"/>
    </row>
    <row r="21" customFormat="false" ht="15" hidden="false" customHeight="false" outlineLevel="0" collapsed="false">
      <c r="A21" s="12" t="n">
        <v>19</v>
      </c>
      <c r="B21" s="12"/>
      <c r="C21" s="12"/>
      <c r="D21" s="12"/>
      <c r="E21" s="12"/>
      <c r="F21" s="13" t="str">
        <f aca="false">IF(AND(ISNUMBER(D21),ISNUMBER(E21)),D21*E21,"")</f>
        <v/>
      </c>
      <c r="G21" s="13" t="str">
        <f aca="false">IF(F21="","",IF(F21&gt;=15,"Elevado",IF(F21&gt;=8,"Médio","Baixo")))</f>
        <v/>
      </c>
      <c r="H21" s="12"/>
      <c r="I21" s="12"/>
      <c r="J21" s="12"/>
      <c r="K21" s="12"/>
      <c r="L21" s="12"/>
    </row>
    <row r="22" customFormat="false" ht="15" hidden="false" customHeight="false" outlineLevel="0" collapsed="false">
      <c r="A22" s="12" t="n">
        <v>20</v>
      </c>
      <c r="B22" s="12"/>
      <c r="C22" s="12"/>
      <c r="D22" s="12"/>
      <c r="E22" s="12"/>
      <c r="F22" s="13" t="str">
        <f aca="false">IF(AND(ISNUMBER(D22),ISNUMBER(E22)),D22*E22,"")</f>
        <v/>
      </c>
      <c r="G22" s="13" t="str">
        <f aca="false">IF(F22="","",IF(F22&gt;=15,"Elevado",IF(F22&gt;=8,"Médio","Baixo")))</f>
        <v/>
      </c>
      <c r="H22" s="12"/>
      <c r="I22" s="12"/>
      <c r="J22" s="12"/>
      <c r="K22" s="12"/>
      <c r="L22" s="12"/>
    </row>
    <row r="23" customFormat="false" ht="15" hidden="false" customHeight="false" outlineLevel="0" collapsed="false">
      <c r="A23" s="12" t="n">
        <v>21</v>
      </c>
      <c r="B23" s="12"/>
      <c r="C23" s="12"/>
      <c r="D23" s="12"/>
      <c r="E23" s="12"/>
      <c r="F23" s="13" t="str">
        <f aca="false">IF(AND(ISNUMBER(D23),ISNUMBER(E23)),D23*E23,"")</f>
        <v/>
      </c>
      <c r="G23" s="13" t="str">
        <f aca="false">IF(F23="","",IF(F23&gt;=15,"Elevado",IF(F23&gt;=8,"Médio","Baixo")))</f>
        <v/>
      </c>
      <c r="H23" s="12"/>
      <c r="I23" s="12"/>
      <c r="J23" s="12"/>
      <c r="K23" s="12"/>
      <c r="L23" s="12"/>
    </row>
    <row r="24" customFormat="false" ht="15" hidden="false" customHeight="false" outlineLevel="0" collapsed="false">
      <c r="A24" s="12" t="n">
        <v>22</v>
      </c>
      <c r="B24" s="12"/>
      <c r="C24" s="12"/>
      <c r="D24" s="12"/>
      <c r="E24" s="12"/>
      <c r="F24" s="13" t="str">
        <f aca="false">IF(AND(ISNUMBER(D24),ISNUMBER(E24)),D24*E24,"")</f>
        <v/>
      </c>
      <c r="G24" s="13" t="str">
        <f aca="false">IF(F24="","",IF(F24&gt;=15,"Elevado",IF(F24&gt;=8,"Médio","Baixo")))</f>
        <v/>
      </c>
      <c r="H24" s="12"/>
      <c r="I24" s="12"/>
      <c r="J24" s="12"/>
      <c r="K24" s="12"/>
      <c r="L24" s="12"/>
    </row>
    <row r="25" customFormat="false" ht="15" hidden="false" customHeight="false" outlineLevel="0" collapsed="false">
      <c r="A25" s="12" t="n">
        <v>23</v>
      </c>
      <c r="B25" s="12"/>
      <c r="C25" s="12"/>
      <c r="D25" s="12"/>
      <c r="E25" s="12"/>
      <c r="F25" s="13" t="str">
        <f aca="false">IF(AND(ISNUMBER(D25),ISNUMBER(E25)),D25*E25,"")</f>
        <v/>
      </c>
      <c r="G25" s="13" t="str">
        <f aca="false">IF(F25="","",IF(F25&gt;=15,"Elevado",IF(F25&gt;=8,"Médio","Baixo")))</f>
        <v/>
      </c>
      <c r="H25" s="12"/>
      <c r="I25" s="12"/>
      <c r="J25" s="12"/>
      <c r="K25" s="12"/>
      <c r="L25" s="12"/>
    </row>
    <row r="26" customFormat="false" ht="15" hidden="false" customHeight="false" outlineLevel="0" collapsed="false">
      <c r="A26" s="12" t="n">
        <v>24</v>
      </c>
      <c r="B26" s="12"/>
      <c r="C26" s="12"/>
      <c r="D26" s="12"/>
      <c r="E26" s="12"/>
      <c r="F26" s="13" t="str">
        <f aca="false">IF(AND(ISNUMBER(D26),ISNUMBER(E26)),D26*E26,"")</f>
        <v/>
      </c>
      <c r="G26" s="13" t="str">
        <f aca="false">IF(F26="","",IF(F26&gt;=15,"Elevado",IF(F26&gt;=8,"Médio","Baixo")))</f>
        <v/>
      </c>
      <c r="H26" s="12"/>
      <c r="I26" s="12"/>
      <c r="J26" s="12"/>
      <c r="K26" s="12"/>
      <c r="L26" s="12"/>
    </row>
    <row r="27" customFormat="false" ht="15" hidden="false" customHeight="false" outlineLevel="0" collapsed="false">
      <c r="A27" s="12" t="n">
        <v>25</v>
      </c>
      <c r="B27" s="12"/>
      <c r="C27" s="12"/>
      <c r="D27" s="12"/>
      <c r="E27" s="12"/>
      <c r="F27" s="13" t="str">
        <f aca="false">IF(AND(ISNUMBER(D27),ISNUMBER(E27)),D27*E27,"")</f>
        <v/>
      </c>
      <c r="G27" s="13" t="str">
        <f aca="false">IF(F27="","",IF(F27&gt;=15,"Elevado",IF(F27&gt;=8,"Médio","Baixo")))</f>
        <v/>
      </c>
      <c r="H27" s="12"/>
      <c r="I27" s="12"/>
      <c r="J27" s="12"/>
      <c r="K27" s="12"/>
      <c r="L27" s="12"/>
    </row>
    <row r="28" customFormat="false" ht="15" hidden="false" customHeight="false" outlineLevel="0" collapsed="false">
      <c r="A28" s="12" t="n">
        <v>26</v>
      </c>
      <c r="B28" s="12"/>
      <c r="C28" s="12"/>
      <c r="D28" s="12"/>
      <c r="E28" s="12"/>
      <c r="F28" s="13" t="str">
        <f aca="false">IF(AND(ISNUMBER(D28),ISNUMBER(E28)),D28*E28,"")</f>
        <v/>
      </c>
      <c r="G28" s="13" t="str">
        <f aca="false">IF(F28="","",IF(F28&gt;=15,"Elevado",IF(F28&gt;=8,"Médio","Baixo")))</f>
        <v/>
      </c>
      <c r="H28" s="12"/>
      <c r="I28" s="12"/>
      <c r="J28" s="12"/>
      <c r="K28" s="12"/>
      <c r="L28" s="12"/>
    </row>
    <row r="29" customFormat="false" ht="15" hidden="false" customHeight="false" outlineLevel="0" collapsed="false">
      <c r="A29" s="12" t="n">
        <v>27</v>
      </c>
      <c r="B29" s="12"/>
      <c r="C29" s="12"/>
      <c r="D29" s="12"/>
      <c r="E29" s="12"/>
      <c r="F29" s="13" t="str">
        <f aca="false">IF(AND(ISNUMBER(D29),ISNUMBER(E29)),D29*E29,"")</f>
        <v/>
      </c>
      <c r="G29" s="13" t="str">
        <f aca="false">IF(F29="","",IF(F29&gt;=15,"Elevado",IF(F29&gt;=8,"Médio","Baixo")))</f>
        <v/>
      </c>
      <c r="H29" s="12"/>
      <c r="I29" s="12"/>
      <c r="J29" s="12"/>
      <c r="K29" s="12"/>
      <c r="L29" s="12"/>
    </row>
    <row r="30" customFormat="false" ht="15" hidden="false" customHeight="false" outlineLevel="0" collapsed="false">
      <c r="A30" s="12" t="n">
        <v>28</v>
      </c>
      <c r="B30" s="12"/>
      <c r="C30" s="12"/>
      <c r="D30" s="12"/>
      <c r="E30" s="12"/>
      <c r="F30" s="13" t="str">
        <f aca="false">IF(AND(ISNUMBER(D30),ISNUMBER(E30)),D30*E30,"")</f>
        <v/>
      </c>
      <c r="G30" s="13" t="str">
        <f aca="false">IF(F30="","",IF(F30&gt;=15,"Elevado",IF(F30&gt;=8,"Médio","Baixo")))</f>
        <v/>
      </c>
      <c r="H30" s="12"/>
      <c r="I30" s="12"/>
      <c r="J30" s="12"/>
      <c r="K30" s="12"/>
      <c r="L30" s="12"/>
    </row>
    <row r="31" customFormat="false" ht="15" hidden="false" customHeight="false" outlineLevel="0" collapsed="false">
      <c r="A31" s="12" t="n">
        <v>29</v>
      </c>
      <c r="B31" s="12"/>
      <c r="C31" s="12"/>
      <c r="D31" s="12"/>
      <c r="E31" s="12"/>
      <c r="F31" s="13" t="str">
        <f aca="false">IF(AND(ISNUMBER(D31),ISNUMBER(E31)),D31*E31,"")</f>
        <v/>
      </c>
      <c r="G31" s="13" t="str">
        <f aca="false">IF(F31="","",IF(F31&gt;=15,"Elevado",IF(F31&gt;=8,"Médio","Baixo")))</f>
        <v/>
      </c>
      <c r="H31" s="12"/>
      <c r="I31" s="12"/>
      <c r="J31" s="12"/>
      <c r="K31" s="12"/>
      <c r="L31" s="12"/>
    </row>
    <row r="32" customFormat="false" ht="15" hidden="false" customHeight="false" outlineLevel="0" collapsed="false">
      <c r="A32" s="12" t="n">
        <v>30</v>
      </c>
      <c r="B32" s="12"/>
      <c r="C32" s="12"/>
      <c r="D32" s="12"/>
      <c r="E32" s="12"/>
      <c r="F32" s="13" t="str">
        <f aca="false">IF(AND(ISNUMBER(D32),ISNUMBER(E32)),D32*E32,"")</f>
        <v/>
      </c>
      <c r="G32" s="13" t="str">
        <f aca="false">IF(F32="","",IF(F32&gt;=15,"Elevado",IF(F32&gt;=8,"Médio","Baixo")))</f>
        <v/>
      </c>
      <c r="H32" s="12"/>
      <c r="I32" s="12"/>
      <c r="J32" s="12"/>
      <c r="K32" s="12"/>
      <c r="L32" s="12"/>
    </row>
    <row r="33" customFormat="false" ht="15" hidden="false" customHeight="false" outlineLevel="0" collapsed="false">
      <c r="A33" s="12" t="n">
        <v>31</v>
      </c>
      <c r="B33" s="12"/>
      <c r="C33" s="12"/>
      <c r="D33" s="12"/>
      <c r="E33" s="12"/>
      <c r="F33" s="13" t="str">
        <f aca="false">IF(AND(ISNUMBER(D33),ISNUMBER(E33)),D33*E33,"")</f>
        <v/>
      </c>
      <c r="G33" s="13" t="str">
        <f aca="false">IF(F33="","",IF(F33&gt;=15,"Elevado",IF(F33&gt;=8,"Médio","Baixo")))</f>
        <v/>
      </c>
      <c r="H33" s="12"/>
      <c r="I33" s="12"/>
      <c r="J33" s="12"/>
      <c r="K33" s="12"/>
      <c r="L33" s="12"/>
    </row>
    <row r="34" customFormat="false" ht="15" hidden="false" customHeight="false" outlineLevel="0" collapsed="false">
      <c r="A34" s="12" t="n">
        <v>32</v>
      </c>
      <c r="B34" s="12"/>
      <c r="C34" s="12"/>
      <c r="D34" s="12"/>
      <c r="E34" s="12"/>
      <c r="F34" s="13" t="str">
        <f aca="false">IF(AND(ISNUMBER(D34),ISNUMBER(E34)),D34*E34,"")</f>
        <v/>
      </c>
      <c r="G34" s="13" t="str">
        <f aca="false">IF(F34="","",IF(F34&gt;=15,"Elevado",IF(F34&gt;=8,"Médio","Baixo")))</f>
        <v/>
      </c>
      <c r="H34" s="12"/>
      <c r="I34" s="12"/>
      <c r="J34" s="12"/>
      <c r="K34" s="12"/>
      <c r="L34" s="12"/>
    </row>
    <row r="35" customFormat="false" ht="15" hidden="false" customHeight="false" outlineLevel="0" collapsed="false">
      <c r="A35" s="12" t="n">
        <v>33</v>
      </c>
      <c r="B35" s="12"/>
      <c r="C35" s="12"/>
      <c r="D35" s="12"/>
      <c r="E35" s="12"/>
      <c r="F35" s="13" t="str">
        <f aca="false">IF(AND(ISNUMBER(D35),ISNUMBER(E35)),D35*E35,"")</f>
        <v/>
      </c>
      <c r="G35" s="13" t="str">
        <f aca="false">IF(F35="","",IF(F35&gt;=15,"Elevado",IF(F35&gt;=8,"Médio","Baixo")))</f>
        <v/>
      </c>
      <c r="H35" s="12"/>
      <c r="I35" s="12"/>
      <c r="J35" s="12"/>
      <c r="K35" s="12"/>
      <c r="L35" s="12"/>
    </row>
    <row r="36" customFormat="false" ht="15" hidden="false" customHeight="false" outlineLevel="0" collapsed="false">
      <c r="A36" s="12" t="n">
        <v>34</v>
      </c>
      <c r="B36" s="12"/>
      <c r="C36" s="12"/>
      <c r="D36" s="12"/>
      <c r="E36" s="12"/>
      <c r="F36" s="13" t="str">
        <f aca="false">IF(AND(ISNUMBER(D36),ISNUMBER(E36)),D36*E36,"")</f>
        <v/>
      </c>
      <c r="G36" s="13" t="str">
        <f aca="false">IF(F36="","",IF(F36&gt;=15,"Elevado",IF(F36&gt;=8,"Médio","Baixo")))</f>
        <v/>
      </c>
      <c r="H36" s="12"/>
      <c r="I36" s="12"/>
      <c r="J36" s="12"/>
      <c r="K36" s="12"/>
      <c r="L36" s="12"/>
    </row>
    <row r="37" customFormat="false" ht="15" hidden="false" customHeight="false" outlineLevel="0" collapsed="false">
      <c r="A37" s="12" t="n">
        <v>35</v>
      </c>
      <c r="B37" s="12"/>
      <c r="C37" s="12"/>
      <c r="D37" s="12"/>
      <c r="E37" s="12"/>
      <c r="F37" s="13" t="str">
        <f aca="false">IF(AND(ISNUMBER(D37),ISNUMBER(E37)),D37*E37,"")</f>
        <v/>
      </c>
      <c r="G37" s="13" t="str">
        <f aca="false">IF(F37="","",IF(F37&gt;=15,"Elevado",IF(F37&gt;=8,"Médio","Baixo")))</f>
        <v/>
      </c>
      <c r="H37" s="12"/>
      <c r="I37" s="12"/>
      <c r="J37" s="12"/>
      <c r="K37" s="12"/>
      <c r="L37" s="12"/>
    </row>
    <row r="38" customFormat="false" ht="15" hidden="false" customHeight="false" outlineLevel="0" collapsed="false">
      <c r="A38" s="12" t="n">
        <v>36</v>
      </c>
      <c r="B38" s="12"/>
      <c r="C38" s="12"/>
      <c r="D38" s="12"/>
      <c r="E38" s="12"/>
      <c r="F38" s="13" t="str">
        <f aca="false">IF(AND(ISNUMBER(D38),ISNUMBER(E38)),D38*E38,"")</f>
        <v/>
      </c>
      <c r="G38" s="13" t="str">
        <f aca="false">IF(F38="","",IF(F38&gt;=15,"Elevado",IF(F38&gt;=8,"Médio","Baixo")))</f>
        <v/>
      </c>
      <c r="H38" s="12"/>
      <c r="I38" s="12"/>
      <c r="J38" s="12"/>
      <c r="K38" s="12"/>
      <c r="L38" s="12"/>
    </row>
    <row r="39" customFormat="false" ht="15" hidden="false" customHeight="false" outlineLevel="0" collapsed="false">
      <c r="A39" s="12" t="n">
        <v>37</v>
      </c>
      <c r="B39" s="12"/>
      <c r="C39" s="12"/>
      <c r="D39" s="12"/>
      <c r="E39" s="12"/>
      <c r="F39" s="13" t="str">
        <f aca="false">IF(AND(ISNUMBER(D39),ISNUMBER(E39)),D39*E39,"")</f>
        <v/>
      </c>
      <c r="G39" s="13" t="str">
        <f aca="false">IF(F39="","",IF(F39&gt;=15,"Elevado",IF(F39&gt;=8,"Médio","Baixo")))</f>
        <v/>
      </c>
      <c r="H39" s="12"/>
      <c r="I39" s="12"/>
      <c r="J39" s="12"/>
      <c r="K39" s="12"/>
      <c r="L39" s="12"/>
    </row>
    <row r="40" customFormat="false" ht="15" hidden="false" customHeight="false" outlineLevel="0" collapsed="false">
      <c r="A40" s="12" t="n">
        <v>38</v>
      </c>
      <c r="B40" s="12"/>
      <c r="C40" s="12"/>
      <c r="D40" s="12"/>
      <c r="E40" s="12"/>
      <c r="F40" s="13" t="str">
        <f aca="false">IF(AND(ISNUMBER(D40),ISNUMBER(E40)),D40*E40,"")</f>
        <v/>
      </c>
      <c r="G40" s="13" t="str">
        <f aca="false">IF(F40="","",IF(F40&gt;=15,"Elevado",IF(F40&gt;=8,"Médio","Baixo")))</f>
        <v/>
      </c>
      <c r="H40" s="12"/>
      <c r="I40" s="12"/>
      <c r="J40" s="12"/>
      <c r="K40" s="12"/>
      <c r="L40" s="12"/>
    </row>
    <row r="41" customFormat="false" ht="15" hidden="false" customHeight="false" outlineLevel="0" collapsed="false">
      <c r="A41" s="12" t="n">
        <v>39</v>
      </c>
      <c r="B41" s="12"/>
      <c r="C41" s="12"/>
      <c r="D41" s="12"/>
      <c r="E41" s="12"/>
      <c r="F41" s="13" t="str">
        <f aca="false">IF(AND(ISNUMBER(D41),ISNUMBER(E41)),D41*E41,"")</f>
        <v/>
      </c>
      <c r="G41" s="13" t="str">
        <f aca="false">IF(F41="","",IF(F41&gt;=15,"Elevado",IF(F41&gt;=8,"Médio","Baixo")))</f>
        <v/>
      </c>
      <c r="H41" s="12"/>
      <c r="I41" s="12"/>
      <c r="J41" s="12"/>
      <c r="K41" s="12"/>
      <c r="L41" s="12"/>
    </row>
    <row r="42" customFormat="false" ht="15" hidden="false" customHeight="false" outlineLevel="0" collapsed="false">
      <c r="A42" s="12" t="n">
        <v>40</v>
      </c>
      <c r="B42" s="12"/>
      <c r="C42" s="12"/>
      <c r="D42" s="12"/>
      <c r="E42" s="12"/>
      <c r="F42" s="13" t="str">
        <f aca="false">IF(AND(ISNUMBER(D42),ISNUMBER(E42)),D42*E42,"")</f>
        <v/>
      </c>
      <c r="G42" s="13" t="str">
        <f aca="false">IF(F42="","",IF(F42&gt;=15,"Elevado",IF(F42&gt;=8,"Médio","Baixo")))</f>
        <v/>
      </c>
      <c r="H42" s="12"/>
      <c r="I42" s="12"/>
      <c r="J42" s="12"/>
      <c r="K42" s="12"/>
      <c r="L42" s="12"/>
    </row>
    <row r="43" customFormat="false" ht="15" hidden="false" customHeight="false" outlineLevel="0" collapsed="false">
      <c r="A43" s="12" t="n">
        <v>41</v>
      </c>
      <c r="B43" s="12"/>
      <c r="C43" s="12"/>
      <c r="D43" s="12"/>
      <c r="E43" s="12"/>
      <c r="F43" s="13" t="str">
        <f aca="false">IF(AND(ISNUMBER(D43),ISNUMBER(E43)),D43*E43,"")</f>
        <v/>
      </c>
      <c r="G43" s="13" t="str">
        <f aca="false">IF(F43="","",IF(F43&gt;=15,"Elevado",IF(F43&gt;=8,"Médio","Baixo")))</f>
        <v/>
      </c>
      <c r="H43" s="12"/>
      <c r="I43" s="12"/>
      <c r="J43" s="12"/>
      <c r="K43" s="12"/>
      <c r="L43" s="12"/>
    </row>
    <row r="44" customFormat="false" ht="15" hidden="false" customHeight="false" outlineLevel="0" collapsed="false">
      <c r="A44" s="12" t="n">
        <v>42</v>
      </c>
      <c r="B44" s="12"/>
      <c r="C44" s="12"/>
      <c r="D44" s="12"/>
      <c r="E44" s="12"/>
      <c r="F44" s="13" t="str">
        <f aca="false">IF(AND(ISNUMBER(D44),ISNUMBER(E44)),D44*E44,"")</f>
        <v/>
      </c>
      <c r="G44" s="13" t="str">
        <f aca="false">IF(F44="","",IF(F44&gt;=15,"Elevado",IF(F44&gt;=8,"Médio","Baixo")))</f>
        <v/>
      </c>
      <c r="H44" s="12"/>
      <c r="I44" s="12"/>
      <c r="J44" s="12"/>
      <c r="K44" s="12"/>
      <c r="L44" s="12"/>
    </row>
    <row r="45" customFormat="false" ht="15" hidden="false" customHeight="false" outlineLevel="0" collapsed="false">
      <c r="A45" s="12" t="n">
        <v>43</v>
      </c>
      <c r="B45" s="12"/>
      <c r="C45" s="12"/>
      <c r="D45" s="12"/>
      <c r="E45" s="12"/>
      <c r="F45" s="13" t="str">
        <f aca="false">IF(AND(ISNUMBER(D45),ISNUMBER(E45)),D45*E45,"")</f>
        <v/>
      </c>
      <c r="G45" s="13" t="str">
        <f aca="false">IF(F45="","",IF(F45&gt;=15,"Elevado",IF(F45&gt;=8,"Médio","Baixo")))</f>
        <v/>
      </c>
      <c r="H45" s="12"/>
      <c r="I45" s="12"/>
      <c r="J45" s="12"/>
      <c r="K45" s="12"/>
      <c r="L45" s="12"/>
    </row>
    <row r="46" customFormat="false" ht="15" hidden="false" customHeight="false" outlineLevel="0" collapsed="false">
      <c r="A46" s="12" t="n">
        <v>44</v>
      </c>
      <c r="B46" s="12"/>
      <c r="C46" s="12"/>
      <c r="D46" s="12"/>
      <c r="E46" s="12"/>
      <c r="F46" s="13" t="str">
        <f aca="false">IF(AND(ISNUMBER(D46),ISNUMBER(E46)),D46*E46,"")</f>
        <v/>
      </c>
      <c r="G46" s="13" t="str">
        <f aca="false">IF(F46="","",IF(F46&gt;=15,"Elevado",IF(F46&gt;=8,"Médio","Baixo")))</f>
        <v/>
      </c>
      <c r="H46" s="12"/>
      <c r="I46" s="12"/>
      <c r="J46" s="12"/>
      <c r="K46" s="12"/>
      <c r="L46" s="12"/>
    </row>
    <row r="47" customFormat="false" ht="15" hidden="false" customHeight="false" outlineLevel="0" collapsed="false">
      <c r="A47" s="12" t="n">
        <v>45</v>
      </c>
      <c r="B47" s="12"/>
      <c r="C47" s="12"/>
      <c r="D47" s="12"/>
      <c r="E47" s="12"/>
      <c r="F47" s="13" t="str">
        <f aca="false">IF(AND(ISNUMBER(D47),ISNUMBER(E47)),D47*E47,"")</f>
        <v/>
      </c>
      <c r="G47" s="13" t="str">
        <f aca="false">IF(F47="","",IF(F47&gt;=15,"Elevado",IF(F47&gt;=8,"Médio","Baixo")))</f>
        <v/>
      </c>
      <c r="H47" s="12"/>
      <c r="I47" s="12"/>
      <c r="J47" s="12"/>
      <c r="K47" s="12"/>
      <c r="L47" s="12"/>
    </row>
    <row r="48" customFormat="false" ht="15" hidden="false" customHeight="false" outlineLevel="0" collapsed="false">
      <c r="A48" s="12" t="n">
        <v>46</v>
      </c>
      <c r="B48" s="12"/>
      <c r="C48" s="12"/>
      <c r="D48" s="12"/>
      <c r="E48" s="12"/>
      <c r="F48" s="13" t="str">
        <f aca="false">IF(AND(ISNUMBER(D48),ISNUMBER(E48)),D48*E48,"")</f>
        <v/>
      </c>
      <c r="G48" s="13" t="str">
        <f aca="false">IF(F48="","",IF(F48&gt;=15,"Elevado",IF(F48&gt;=8,"Médio","Baixo")))</f>
        <v/>
      </c>
      <c r="H48" s="12"/>
      <c r="I48" s="12"/>
      <c r="J48" s="12"/>
      <c r="K48" s="12"/>
      <c r="L48" s="12"/>
    </row>
    <row r="49" customFormat="false" ht="15" hidden="false" customHeight="false" outlineLevel="0" collapsed="false">
      <c r="A49" s="12" t="n">
        <v>47</v>
      </c>
      <c r="B49" s="12"/>
      <c r="C49" s="12"/>
      <c r="D49" s="12"/>
      <c r="E49" s="12"/>
      <c r="F49" s="13" t="str">
        <f aca="false">IF(AND(ISNUMBER(D49),ISNUMBER(E49)),D49*E49,"")</f>
        <v/>
      </c>
      <c r="G49" s="13" t="str">
        <f aca="false">IF(F49="","",IF(F49&gt;=15,"Elevado",IF(F49&gt;=8,"Médio","Baixo")))</f>
        <v/>
      </c>
      <c r="H49" s="12"/>
      <c r="I49" s="12"/>
      <c r="J49" s="12"/>
      <c r="K49" s="12"/>
      <c r="L49" s="12"/>
    </row>
    <row r="50" customFormat="false" ht="15" hidden="false" customHeight="false" outlineLevel="0" collapsed="false">
      <c r="A50" s="12" t="n">
        <v>48</v>
      </c>
      <c r="B50" s="12"/>
      <c r="C50" s="12"/>
      <c r="D50" s="12"/>
      <c r="E50" s="12"/>
      <c r="F50" s="13" t="str">
        <f aca="false">IF(AND(ISNUMBER(D50),ISNUMBER(E50)),D50*E50,"")</f>
        <v/>
      </c>
      <c r="G50" s="13" t="str">
        <f aca="false">IF(F50="","",IF(F50&gt;=15,"Elevado",IF(F50&gt;=8,"Médio","Baixo")))</f>
        <v/>
      </c>
      <c r="H50" s="12"/>
      <c r="I50" s="12"/>
      <c r="J50" s="12"/>
      <c r="K50" s="12"/>
      <c r="L50" s="12"/>
    </row>
    <row r="51" customFormat="false" ht="15" hidden="false" customHeight="false" outlineLevel="0" collapsed="false">
      <c r="A51" s="12" t="n">
        <v>49</v>
      </c>
      <c r="B51" s="12"/>
      <c r="C51" s="12"/>
      <c r="D51" s="12"/>
      <c r="E51" s="12"/>
      <c r="F51" s="13" t="str">
        <f aca="false">IF(AND(ISNUMBER(D51),ISNUMBER(E51)),D51*E51,"")</f>
        <v/>
      </c>
      <c r="G51" s="13" t="str">
        <f aca="false">IF(F51="","",IF(F51&gt;=15,"Elevado",IF(F51&gt;=8,"Médio","Baixo")))</f>
        <v/>
      </c>
      <c r="H51" s="12"/>
      <c r="I51" s="12"/>
      <c r="J51" s="12"/>
      <c r="K51" s="12"/>
      <c r="L51" s="12"/>
    </row>
    <row r="52" customFormat="false" ht="15" hidden="false" customHeight="false" outlineLevel="0" collapsed="false">
      <c r="A52" s="12" t="n">
        <v>50</v>
      </c>
      <c r="B52" s="12"/>
      <c r="C52" s="12"/>
      <c r="D52" s="12"/>
      <c r="E52" s="12"/>
      <c r="F52" s="13" t="str">
        <f aca="false">IF(AND(ISNUMBER(D52),ISNUMBER(E52)),D52*E52,"")</f>
        <v/>
      </c>
      <c r="G52" s="13" t="str">
        <f aca="false">IF(F52="","",IF(F52&gt;=15,"Elevado",IF(F52&gt;=8,"Médio","Baixo")))</f>
        <v/>
      </c>
      <c r="H52" s="12"/>
      <c r="I52" s="12"/>
      <c r="J52" s="12"/>
      <c r="K52" s="12"/>
      <c r="L52" s="12"/>
    </row>
  </sheetData>
  <autoFilter ref="A2:L3"/>
  <mergeCells count="1">
    <mergeCell ref="A1:L1"/>
  </mergeCells>
  <dataValidations count="2">
    <dataValidation allowBlank="true" errorStyle="stop" operator="between" showDropDown="false" showErrorMessage="false" showInputMessage="false" sqref="H3:H200" type="list">
      <formula1>"Reduzir,Evitar,Transferir,Aceitar"</formula1>
      <formula2>0</formula2>
    </dataValidation>
    <dataValidation allowBlank="true" errorStyle="stop" operator="between" showDropDown="false" showErrorMessage="false" showInputMessage="false" sqref="D3:E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503</v>
      </c>
      <c r="B1" s="6" t="s">
        <v>12</v>
      </c>
      <c r="C1" s="6" t="s">
        <v>504</v>
      </c>
      <c r="D1" s="6" t="s">
        <v>505</v>
      </c>
      <c r="E1" s="6" t="s">
        <v>506</v>
      </c>
    </row>
    <row r="2" customFormat="false" ht="15" hidden="false" customHeight="false" outlineLevel="0" collapsed="false">
      <c r="A2" s="7" t="s">
        <v>507</v>
      </c>
      <c r="B2" s="7" t="s">
        <v>508</v>
      </c>
      <c r="C2" s="8"/>
      <c r="D2" s="8"/>
      <c r="E2" s="8"/>
    </row>
    <row r="3" customFormat="false" ht="15" hidden="false" customHeight="false" outlineLevel="0" collapsed="false">
      <c r="A3" s="7" t="s">
        <v>509</v>
      </c>
      <c r="B3" s="7" t="s">
        <v>510</v>
      </c>
      <c r="C3" s="8"/>
      <c r="D3" s="8"/>
      <c r="E3" s="8"/>
    </row>
    <row r="4" customFormat="false" ht="15" hidden="false" customHeight="false" outlineLevel="0" collapsed="false">
      <c r="A4" s="7" t="s">
        <v>511</v>
      </c>
      <c r="B4" s="7" t="s">
        <v>512</v>
      </c>
      <c r="C4" s="8"/>
      <c r="D4" s="8"/>
      <c r="E4" s="8"/>
    </row>
    <row r="5" customFormat="false" ht="15" hidden="false" customHeight="false" outlineLevel="0" collapsed="false">
      <c r="A5" s="7" t="s">
        <v>513</v>
      </c>
      <c r="B5" s="7" t="s">
        <v>514</v>
      </c>
      <c r="C5" s="8"/>
      <c r="D5" s="8"/>
      <c r="E5" s="8"/>
    </row>
    <row r="6" customFormat="false" ht="15" hidden="false" customHeight="false" outlineLevel="0" collapsed="false">
      <c r="A6" s="7" t="s">
        <v>515</v>
      </c>
      <c r="B6" s="7" t="s">
        <v>516</v>
      </c>
      <c r="C6" s="8"/>
      <c r="D6" s="8"/>
      <c r="E6" s="8"/>
    </row>
    <row r="7" customFormat="false" ht="15" hidden="false" customHeight="false" outlineLevel="0" collapsed="false">
      <c r="A7" s="7" t="s">
        <v>517</v>
      </c>
      <c r="B7" s="7" t="s">
        <v>518</v>
      </c>
      <c r="C7" s="8"/>
      <c r="D7" s="8"/>
      <c r="E7" s="8"/>
    </row>
    <row r="8" customFormat="false" ht="15" hidden="false" customHeight="false" outlineLevel="0" collapsed="false">
      <c r="A8" s="7" t="s">
        <v>519</v>
      </c>
      <c r="B8" s="7" t="s">
        <v>520</v>
      </c>
      <c r="C8" s="8"/>
      <c r="D8" s="8"/>
      <c r="E8" s="8"/>
    </row>
    <row r="9" customFormat="false" ht="15" hidden="false" customHeight="false" outlineLevel="0" collapsed="false">
      <c r="A9" s="7" t="s">
        <v>521</v>
      </c>
      <c r="B9" s="7" t="s">
        <v>522</v>
      </c>
      <c r="C9" s="8"/>
      <c r="D9" s="8"/>
      <c r="E9" s="8"/>
    </row>
    <row r="10" customFormat="false" ht="15" hidden="false" customHeight="false" outlineLevel="0" collapsed="false">
      <c r="A10" s="7" t="s">
        <v>523</v>
      </c>
      <c r="B10" s="7" t="s">
        <v>512</v>
      </c>
      <c r="C10" s="8"/>
      <c r="D10" s="8"/>
      <c r="E10" s="8"/>
    </row>
    <row r="11" customFormat="false" ht="15" hidden="false" customHeight="false" outlineLevel="0" collapsed="false">
      <c r="A11" s="7" t="s">
        <v>524</v>
      </c>
      <c r="B11" s="7" t="s">
        <v>525</v>
      </c>
      <c r="C11" s="8"/>
      <c r="D11" s="8"/>
      <c r="E11" s="8"/>
    </row>
    <row r="12" customFormat="false" ht="15" hidden="false" customHeight="false" outlineLevel="0" collapsed="false">
      <c r="A12" s="7" t="s">
        <v>526</v>
      </c>
      <c r="B12" s="7" t="s">
        <v>527</v>
      </c>
      <c r="C12" s="8"/>
      <c r="D12" s="8"/>
      <c r="E12" s="8"/>
    </row>
    <row r="13" customFormat="false" ht="15" hidden="false" customHeight="false" outlineLevel="0" collapsed="false">
      <c r="A13" s="7" t="s">
        <v>528</v>
      </c>
      <c r="B13" s="7" t="s">
        <v>529</v>
      </c>
      <c r="C13" s="8"/>
      <c r="D13" s="8"/>
      <c r="E13" s="8"/>
    </row>
    <row r="14" customFormat="false" ht="15" hidden="false" customHeight="false" outlineLevel="0" collapsed="false">
      <c r="A14" s="7" t="s">
        <v>530</v>
      </c>
      <c r="B14" s="7" t="s">
        <v>531</v>
      </c>
      <c r="C14" s="8"/>
      <c r="D14" s="8"/>
      <c r="E14" s="8"/>
    </row>
    <row r="15" customFormat="false" ht="15" hidden="false" customHeight="false" outlineLevel="0" collapsed="false">
      <c r="A15" s="7" t="s">
        <v>532</v>
      </c>
      <c r="B15" s="7" t="s">
        <v>533</v>
      </c>
      <c r="C15" s="8"/>
      <c r="D15" s="8"/>
      <c r="E15" s="8"/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2026-10-27T00:53:25Z</dcterms:created>
  <dc:creator>openpyxl</dc:creator>
  <dc:description/>
  <dc:language>en-US</dc:language>
  <cp:lastModifiedBy/>
  <dcterms:modified xsi:type="dcterms:W3CDTF">2026-10-27T00:53:25Z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