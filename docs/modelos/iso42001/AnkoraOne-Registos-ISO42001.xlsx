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eclaração de Aplicabilidade" sheetId="2" state="visible" r:id="rId4"/>
    <sheet name="Riscos" sheetId="3" state="visible" r:id="rId5"/>
    <sheet name="Informação documentada" sheetId="4" state="visible" r:id="rId6"/>
    <sheet name="Sistemas de IA" sheetId="5" state="visible" r:id="rId7"/>
    <sheet name="Anexo C" sheetId="6" state="visible" r:id="rId8"/>
  </sheets>
  <definedNames>
    <definedName function="false" hidden="true" localSheetId="5" name="_xlnm._FilterDatabase" vbProcedure="false">'Anexo C'!$A$1:$F$19</definedName>
    <definedName function="false" hidden="true" localSheetId="1" name="_xlnm._FilterDatabase" vbProcedure="false">'Declaração de Aplicabilidade'!$A$1:$K$39</definedName>
    <definedName function="false" hidden="true" localSheetId="3" name="_xlnm._FilterDatabase" vbProcedure="false">'Informação documentada'!$A$1:$E$18</definedName>
    <definedName function="false" hidden="true" localSheetId="2" name="_xlnm._FilterDatabase" vbProcedure="false">Riscos!$A$2:$L$3</definedName>
    <definedName function="false" hidden="true" localSheetId="4" name="_xlnm._FilterDatabase" vbProcedure="false">'Sistemas de IA'!$A$2:$J$27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<sst xmlns="http://schemas.openxmlformats.org/spreadsheetml/2006/main" count="393" uniqueCount="336">
  <si>
    <t xml:space="preserve">Registos ISO/IEC 42001:2023</t>
  </si>
  <si>
    <t xml:space="preserve">AnkoraOne · Versão 1.0 · outubro de 2026</t>
  </si>
  <si>
    <t xml:space="preserve">Como preencher</t>
  </si>
  <si>
    <t xml:space="preserve">• Declaração de Aplicabilidade: um controlo por linha do Anexo A. Indique se é aplicável, a justificação (inclusão ou exclusão), se está implementado e o método.</t>
  </si>
  <si>
    <t xml:space="preserve">• Títulos e descrições são redação da AnkoraOne; a norma não é reproduzida. Para certificação use o texto oficial.</t>
  </si>
  <si>
    <t xml:space="preserve">• Riscos: registo de apoio à avaliação e ao tratamento de riscos (cláusulas 6.1.2, 6.1.3, 8.2 e 8.3).</t>
  </si>
  <si>
    <t xml:space="preserve">• Células com fundo amarelo-claro: a preencher pela entidade. As restantes vêm da Biblioteca Legal e não devem ser alteradas.</t>
  </si>
  <si>
    <t xml:space="preserve">Fontes</t>
  </si>
  <si>
    <t xml:space="preserve">ISO/IEC 42001:2023 — guia AnkoraOne</t>
  </si>
  <si>
    <t xml:space="preserve">ISO/IEC 42001:2023, 1.ª edição (2023-12)</t>
  </si>
  <si>
    <t xml:space="preserve">A norma é protegida por direitos de autor e não está incluída. Para certificação, a entidade deve usar o texto oficial e uma entidade certificadora acreditada.</t>
  </si>
  <si>
    <t xml:space="preserve">Controlo</t>
  </si>
  <si>
    <t xml:space="preserve">Tema</t>
  </si>
  <si>
    <t xml:space="preserve">Título (guia AnkoraOne)</t>
  </si>
  <si>
    <t xml:space="preserve">Descrição (guia AnkoraOne)</t>
  </si>
  <si>
    <t xml:space="preserve">Evidência sugerida</t>
  </si>
  <si>
    <t xml:space="preserve">Ligação à ISO/IEC 27001</t>
  </si>
  <si>
    <t xml:space="preserve">Aplicável (sim/não)</t>
  </si>
  <si>
    <t xml:space="preserve">Justificação</t>
  </si>
  <si>
    <t xml:space="preserve">Implementado (sim/parcial/não)</t>
  </si>
  <si>
    <t xml:space="preserve">Método de implementação</t>
  </si>
  <si>
    <t xml:space="preserve">Documento / evidência</t>
  </si>
  <si>
    <t xml:space="preserve">A.2.2</t>
  </si>
  <si>
    <t xml:space="preserve">Políticas relativas à IA</t>
  </si>
  <si>
    <t xml:space="preserve">Política de IA</t>
  </si>
  <si>
    <t xml:space="preserve">Política documentada para o desenvolvimento ou a utilização de sistemas de IA.</t>
  </si>
  <si>
    <t xml:space="preserve">Política de IA aprovada.</t>
  </si>
  <si>
    <t xml:space="preserve">A.5.1, C.5.2</t>
  </si>
  <si>
    <t xml:space="preserve">A.2.3</t>
  </si>
  <si>
    <t xml:space="preserve">Alinhamento com outras políticas</t>
  </si>
  <si>
    <t xml:space="preserve">Identificar as políticas internas (segurança, privacidade, qualidade, compras) que se aplicam aos sistemas de IA ou que são afetadas pelos objetivos de IA.</t>
  </si>
  <si>
    <t xml:space="preserve">Lista de políticas relacionadas e pontos de alinhamento.</t>
  </si>
  <si>
    <t xml:space="preserve">A.5.1</t>
  </si>
  <si>
    <t xml:space="preserve">A.2.4</t>
  </si>
  <si>
    <t xml:space="preserve">Revisão da política de IA</t>
  </si>
  <si>
    <t xml:space="preserve">Rever a política de IA a intervalos planeados e sempre que necessário, para se manter adequada e eficaz.</t>
  </si>
  <si>
    <t xml:space="preserve">Registo de revisões da política.</t>
  </si>
  <si>
    <t xml:space="preserve">A.3.2</t>
  </si>
  <si>
    <t xml:space="preserve">Organização interna</t>
  </si>
  <si>
    <t xml:space="preserve">Funções e responsabilidades de IA</t>
  </si>
  <si>
    <t xml:space="preserve">Definir e atribuir as responsabilidades de IA de acordo com as necessidades da organização.</t>
  </si>
  <si>
    <t xml:space="preserve">Matriz de responsabilidades de IA.</t>
  </si>
  <si>
    <t xml:space="preserve">A.5.2, C.5.3</t>
  </si>
  <si>
    <t xml:space="preserve">A.3.3</t>
  </si>
  <si>
    <t xml:space="preserve">Comunicação de preocupações</t>
  </si>
  <si>
    <t xml:space="preserve">Processo para qualquer pessoa reportar preocupações sobre o papel da organização num sistema de IA, ao longo de todo o ciclo de vida.</t>
  </si>
  <si>
    <t xml:space="preserve">Canal de reporte e registo dos casos tratados.</t>
  </si>
  <si>
    <t xml:space="preserve">A.6.8</t>
  </si>
  <si>
    <t xml:space="preserve">A.4.2</t>
  </si>
  <si>
    <t xml:space="preserve">Recursos dos sistemas de IA</t>
  </si>
  <si>
    <t xml:space="preserve">Documentação dos recursos</t>
  </si>
  <si>
    <t xml:space="preserve">Identificar e documentar os recursos necessários em cada fase do ciclo de vida e nas restantes atividades de IA.</t>
  </si>
  <si>
    <t xml:space="preserve">Inventário de sistemas de IA com os recursos de cada um.</t>
  </si>
  <si>
    <t xml:space="preserve">A.5.9</t>
  </si>
  <si>
    <t xml:space="preserve">A.4.3</t>
  </si>
  <si>
    <t xml:space="preserve">Recursos de dados</t>
  </si>
  <si>
    <t xml:space="preserve">Documentar os dados usados por cada sistema de IA.</t>
  </si>
  <si>
    <t xml:space="preserve">Fichas dos conjuntos de dados (origem, finalidade, categorias, conservação).</t>
  </si>
  <si>
    <t xml:space="preserve">A.5.9, A.5.12</t>
  </si>
  <si>
    <t xml:space="preserve">A.4.4</t>
  </si>
  <si>
    <t xml:space="preserve">Recursos de ferramentas</t>
  </si>
  <si>
    <t xml:space="preserve">Documentar as ferramentas usadas (algoritmos, bibliotecas, plataformas de treino e de avaliação).</t>
  </si>
  <si>
    <t xml:space="preserve">Lista de ferramentas e versões.</t>
  </si>
  <si>
    <t xml:space="preserve">A.4.5</t>
  </si>
  <si>
    <t xml:space="preserve">Recursos de sistema e de computação</t>
  </si>
  <si>
    <t xml:space="preserve">Documentar a infraestrutura e a capacidade de computação usadas, incluindo serviços de nuvem.</t>
  </si>
  <si>
    <t xml:space="preserve">Descrição da infraestrutura e dos serviços contratados.</t>
  </si>
  <si>
    <t xml:space="preserve">A.5.9, A.5.23, A.8.6</t>
  </si>
  <si>
    <t xml:space="preserve">A.4.6</t>
  </si>
  <si>
    <t xml:space="preserve">Recursos humanos</t>
  </si>
  <si>
    <t xml:space="preserve">Documentar a equipa e as competências usadas em cada fase do ciclo de vida do sistema de IA.</t>
  </si>
  <si>
    <t xml:space="preserve">Matriz de competências da equipa de IA.</t>
  </si>
  <si>
    <t xml:space="preserve">C.7.2, A.6.3</t>
  </si>
  <si>
    <t xml:space="preserve">A.5.2</t>
  </si>
  <si>
    <t xml:space="preserve">Avaliação de impactos dos sistemas de IA</t>
  </si>
  <si>
    <t xml:space="preserve">Processo de avaliação de impacto</t>
  </si>
  <si>
    <t xml:space="preserve">Processo para avaliar as consequências potenciais para pessoas, grupos de pessoas e a sociedade ao longo do ciclo de vida do sistema.</t>
  </si>
  <si>
    <t xml:space="preserve">Procedimento de avaliação de impacto aprovado.</t>
  </si>
  <si>
    <t xml:space="preserve">C.6.1.2</t>
  </si>
  <si>
    <t xml:space="preserve">A.5.3</t>
  </si>
  <si>
    <t xml:space="preserve">Documentação das avaliações de impacto</t>
  </si>
  <si>
    <t xml:space="preserve">Documentar os resultados das avaliações de impacto e conservá-los durante um período definido.</t>
  </si>
  <si>
    <t xml:space="preserve">Relatórios de avaliação de impacto com prazo de conservação.</t>
  </si>
  <si>
    <t xml:space="preserve">A.5.4</t>
  </si>
  <si>
    <t xml:space="preserve">Impacto em pessoas ou grupos de pessoas</t>
  </si>
  <si>
    <t xml:space="preserve">Avaliar e documentar os impactos potenciais em pessoas ou grupos de pessoas ao longo do ciclo de vida (por exemplo equidade, privacidade, segurança física).</t>
  </si>
  <si>
    <t xml:space="preserve">Avaliação de impacto individual por sistema de IA.</t>
  </si>
  <si>
    <t xml:space="preserve">A.5.34</t>
  </si>
  <si>
    <t xml:space="preserve">A.5.5</t>
  </si>
  <si>
    <t xml:space="preserve">Impactos na sociedade</t>
  </si>
  <si>
    <t xml:space="preserve">Avaliar e documentar os impactos potenciais dos sistemas de IA na sociedade.</t>
  </si>
  <si>
    <t xml:space="preserve">Secção de impacto societal da avaliação.</t>
  </si>
  <si>
    <t xml:space="preserve">A.6.1.2</t>
  </si>
  <si>
    <t xml:space="preserve">Ciclo de vida dos sistemas de IA</t>
  </si>
  <si>
    <t xml:space="preserve">Objetivos de desenvolvimento responsável</t>
  </si>
  <si>
    <t xml:space="preserve">Definir objetivos que orientam o desenvolvimento responsável e integrá-los nas medidas do ciclo de desenvolvimento.</t>
  </si>
  <si>
    <t xml:space="preserve">Objetivos documentados e evidência da sua aplicação nos projetos.</t>
  </si>
  <si>
    <t xml:space="preserve">A.8.25</t>
  </si>
  <si>
    <t xml:space="preserve">A.6.1.3</t>
  </si>
  <si>
    <t xml:space="preserve">Processos de conceção e desenvolvimento responsáveis</t>
  </si>
  <si>
    <t xml:space="preserve">Definir e documentar os processos específicos de conceção e desenvolvimento responsáveis.</t>
  </si>
  <si>
    <t xml:space="preserve">Procedimento de desenvolvimento de IA.</t>
  </si>
  <si>
    <t xml:space="preserve">A.8.25, A.8.27</t>
  </si>
  <si>
    <t xml:space="preserve">A.6.2.2</t>
  </si>
  <si>
    <t xml:space="preserve">Requisitos e especificação</t>
  </si>
  <si>
    <t xml:space="preserve">Especificar e documentar os requisitos de novos sistemas de IA ou de melhorias relevantes.</t>
  </si>
  <si>
    <t xml:space="preserve">Documento de requisitos aprovado.</t>
  </si>
  <si>
    <t xml:space="preserve">A.8.26</t>
  </si>
  <si>
    <t xml:space="preserve">A.6.2.3</t>
  </si>
  <si>
    <t xml:space="preserve">Documentação da conceção e do desenvolvimento</t>
  </si>
  <si>
    <t xml:space="preserve">Documentar a conceção e o desenvolvimento com base nos objetivos, requisitos e critérios definidos.</t>
  </si>
  <si>
    <t xml:space="preserve">Documentação de arquitetura, do modelo e das decisões de conceção.</t>
  </si>
  <si>
    <t xml:space="preserve">A.6.2.4</t>
  </si>
  <si>
    <t xml:space="preserve">Verificação e validação</t>
  </si>
  <si>
    <t xml:space="preserve">Definir e documentar as medidas de verificação e validação e os critérios para as usar.</t>
  </si>
  <si>
    <t xml:space="preserve">Plano e relatórios de testes, com métricas de desempenho.</t>
  </si>
  <si>
    <t xml:space="preserve">A.8.29</t>
  </si>
  <si>
    <t xml:space="preserve">A.6.2.5</t>
  </si>
  <si>
    <t xml:space="preserve">Entrada em produção</t>
  </si>
  <si>
    <t xml:space="preserve">Documentar o plano de entrada em produção e confirmar que os requisitos são cumpridos antes de avançar.</t>
  </si>
  <si>
    <t xml:space="preserve">Plano e aprovação da entrada em produção.</t>
  </si>
  <si>
    <t xml:space="preserve">A.8.31, A.8.32</t>
  </si>
  <si>
    <t xml:space="preserve">A.6.2.6</t>
  </si>
  <si>
    <t xml:space="preserve">Operação e monitorização</t>
  </si>
  <si>
    <t xml:space="preserve">Prever como o sistema é acompanhado e mantido em produção: monitorização, correções e suporte.</t>
  </si>
  <si>
    <t xml:space="preserve">Procedimentos de operação e registos de monitorização.</t>
  </si>
  <si>
    <t xml:space="preserve">A.8.6, A.8.16</t>
  </si>
  <si>
    <t xml:space="preserve">A.6.2.7</t>
  </si>
  <si>
    <t xml:space="preserve">Documentação técnica</t>
  </si>
  <si>
    <t xml:space="preserve">Documentação técnica adaptada a cada destinatário (por exemplo utilizadores, parceiros ou autoridades).</t>
  </si>
  <si>
    <t xml:space="preserve">Documentação técnica por destinatário.</t>
  </si>
  <si>
    <t xml:space="preserve">A.5.37</t>
  </si>
  <si>
    <t xml:space="preserve">A.6.2.8</t>
  </si>
  <si>
    <t xml:space="preserve">Registo de eventos</t>
  </si>
  <si>
    <t xml:space="preserve">Determinar em que fases do ciclo de vida se registam eventos, no mínimo enquanto o sistema está em utilização.</t>
  </si>
  <si>
    <t xml:space="preserve">Configuração e amostras dos registos de eventos.</t>
  </si>
  <si>
    <t xml:space="preserve">A.8.15</t>
  </si>
  <si>
    <t xml:space="preserve">A.7.2</t>
  </si>
  <si>
    <t xml:space="preserve">Dados para sistemas de IA</t>
  </si>
  <si>
    <t xml:space="preserve">Dados para desenvolvimento e melhoria</t>
  </si>
  <si>
    <t xml:space="preserve">Definir, documentar e aplicar processos de gestão dos dados usados no desenvolvimento dos sistemas de IA.</t>
  </si>
  <si>
    <t xml:space="preserve">Procedimento de gestão de dados de IA.</t>
  </si>
  <si>
    <t xml:space="preserve">A.5.12, A.5.34</t>
  </si>
  <si>
    <t xml:space="preserve">A.7.3</t>
  </si>
  <si>
    <t xml:space="preserve">Aquisição de dados</t>
  </si>
  <si>
    <t xml:space="preserve">Documentar como os dados são obtidos e escolhidos.</t>
  </si>
  <si>
    <t xml:space="preserve">Registo das fontes de dados, licenças e fundamentos de utilização.</t>
  </si>
  <si>
    <t xml:space="preserve">A.5.31, A.5.32, A.5.34</t>
  </si>
  <si>
    <t xml:space="preserve">A.7.4</t>
  </si>
  <si>
    <t xml:space="preserve">Qualidade dos dados</t>
  </si>
  <si>
    <t xml:space="preserve">Definir requisitos de qualidade dos dados e garantir que os dados de desenvolvimento e de operação os cumprem.</t>
  </si>
  <si>
    <t xml:space="preserve">Critérios de qualidade e relatórios de verificação.</t>
  </si>
  <si>
    <t xml:space="preserve">A.7.5</t>
  </si>
  <si>
    <t xml:space="preserve">Proveniência dos dados</t>
  </si>
  <si>
    <t xml:space="preserve">Definir um processo para registar a proveniência dos dados ao longo do ciclo de vida dos dados e do sistema.</t>
  </si>
  <si>
    <t xml:space="preserve">Registos de proveniência e linhagem dos dados.</t>
  </si>
  <si>
    <t xml:space="preserve">A.5.33</t>
  </si>
  <si>
    <t xml:space="preserve">A.7.6</t>
  </si>
  <si>
    <t xml:space="preserve">Preparação dos dados</t>
  </si>
  <si>
    <t xml:space="preserve">Definir critérios para escolher a preparação dos dados e os métodos a usar.</t>
  </si>
  <si>
    <t xml:space="preserve">Descrição dos métodos de preparação (limpeza, anotação, anonimização).</t>
  </si>
  <si>
    <t xml:space="preserve">A.8.11</t>
  </si>
  <si>
    <t xml:space="preserve">A.8.2</t>
  </si>
  <si>
    <t xml:space="preserve">Informação para partes interessadas</t>
  </si>
  <si>
    <t xml:space="preserve">Documentação e informação para utilizadores</t>
  </si>
  <si>
    <t xml:space="preserve">Determinar e fornecer aos utilizadores a informação de que precisam sobre o sistema de IA.</t>
  </si>
  <si>
    <t xml:space="preserve">Manual ou aviso ao utilizador.</t>
  </si>
  <si>
    <t xml:space="preserve">A.8.3</t>
  </si>
  <si>
    <t xml:space="preserve">Reporte externo</t>
  </si>
  <si>
    <t xml:space="preserve">Dar às partes interessadas meios para reportar impactos adversos do sistema de IA.</t>
  </si>
  <si>
    <t xml:space="preserve">Canal externo de reporte e registo das comunicações recebidas.</t>
  </si>
  <si>
    <t xml:space="preserve">A.8.4</t>
  </si>
  <si>
    <t xml:space="preserve">Comunicação de incidentes</t>
  </si>
  <si>
    <t xml:space="preserve">Definir e documentar um plano para comunicar incidentes aos utilizadores do sistema de IA.</t>
  </si>
  <si>
    <t xml:space="preserve">Plano de comunicação de incidentes de IA.</t>
  </si>
  <si>
    <t xml:space="preserve">A.5.24, A.5.26</t>
  </si>
  <si>
    <t xml:space="preserve">A.8.5</t>
  </si>
  <si>
    <t xml:space="preserve">Determinar e documentar as obrigações de reportar informação sobre o sistema de IA às partes interessadas.</t>
  </si>
  <si>
    <t xml:space="preserve">Registo das obrigações de reporte (contratuais e legais).</t>
  </si>
  <si>
    <t xml:space="preserve">A.5.31</t>
  </si>
  <si>
    <t xml:space="preserve">A.9.2</t>
  </si>
  <si>
    <t xml:space="preserve">Utilização de sistemas de IA</t>
  </si>
  <si>
    <t xml:space="preserve">Processos de utilização responsável</t>
  </si>
  <si>
    <t xml:space="preserve">Definir e documentar os processos para a utilização responsável de sistemas de IA.</t>
  </si>
  <si>
    <t xml:space="preserve">Procedimento de utilização de IA.</t>
  </si>
  <si>
    <t xml:space="preserve">A.5.10</t>
  </si>
  <si>
    <t xml:space="preserve">A.9.3</t>
  </si>
  <si>
    <t xml:space="preserve">Objetivos de utilização responsável</t>
  </si>
  <si>
    <t xml:space="preserve">Definir e documentar objetivos que orientam a utilização responsável de sistemas de IA.</t>
  </si>
  <si>
    <t xml:space="preserve">Objetivos de utilização documentados.</t>
  </si>
  <si>
    <t xml:space="preserve">A.9.4</t>
  </si>
  <si>
    <t xml:space="preserve">Utilização prevista</t>
  </si>
  <si>
    <t xml:space="preserve">Garantir que o sistema de IA é usado de acordo com a utilização prevista e com a documentação que o acompanha.</t>
  </si>
  <si>
    <t xml:space="preserve">Registos de monitorização da utilização face à finalidade prevista.</t>
  </si>
  <si>
    <t xml:space="preserve">A.10.2</t>
  </si>
  <si>
    <t xml:space="preserve">Relações com terceiros e clientes</t>
  </si>
  <si>
    <t xml:space="preserve">Repartição de responsabilidades</t>
  </si>
  <si>
    <t xml:space="preserve">Definir quem responde por cada fase do ciclo de vida quando há parceiros, fornecedores ou clientes envolvidos.</t>
  </si>
  <si>
    <t xml:space="preserve">Matriz de responsabilidades partilhadas e cláusulas contratuais.</t>
  </si>
  <si>
    <t xml:space="preserve">A.5.19, A.5.20</t>
  </si>
  <si>
    <t xml:space="preserve">A.10.3</t>
  </si>
  <si>
    <t xml:space="preserve">Fornecedores</t>
  </si>
  <si>
    <t xml:space="preserve">Avaliar se o que os fornecedores entregam está de acordo com a abordagem responsável à IA da organização.</t>
  </si>
  <si>
    <t xml:space="preserve">Avaliação de fornecedores de IA e requisitos contratuais.</t>
  </si>
  <si>
    <t xml:space="preserve">A.5.19, A.5.21, A.5.22</t>
  </si>
  <si>
    <t xml:space="preserve">A.10.4</t>
  </si>
  <si>
    <t xml:space="preserve">Clientes</t>
  </si>
  <si>
    <t xml:space="preserve">Garantir que a abordagem responsável ao desenvolvimento e à utilização de IA tem em conta as expectativas e necessidades dos clientes.</t>
  </si>
  <si>
    <t xml:space="preserve">Requisitos dos clientes registados e refletidos nos sistemas.</t>
  </si>
  <si>
    <t xml:space="preserve">Nível = Probabilidade × Impacto. Classificação: 1 a 6 baixo, 8 a 12 médio, 15 a 25 elevado (critério da AnkoraOne; ajuste aos critérios de aceitação aprovados pela entidade). A linha 3 é um exemplo.</t>
  </si>
  <si>
    <t xml:space="preserve">N.º</t>
  </si>
  <si>
    <t xml:space="preserve">Risco (ameaça sobre o ativo)</t>
  </si>
  <si>
    <t xml:space="preserve">Ativos</t>
  </si>
  <si>
    <t xml:space="preserve">Probabilidade (1 a 5)</t>
  </si>
  <si>
    <t xml:space="preserve">Impacto (1 a 5)</t>
  </si>
  <si>
    <t xml:space="preserve">Nível (P × I)</t>
  </si>
  <si>
    <t xml:space="preserve">Classificação</t>
  </si>
  <si>
    <t xml:space="preserve">Tratamento</t>
  </si>
  <si>
    <t xml:space="preserve">Controlos (Anexo A ou próprios)</t>
  </si>
  <si>
    <t xml:space="preserve">Responsável</t>
  </si>
  <si>
    <t xml:space="preserve">Prazo</t>
  </si>
  <si>
    <t xml:space="preserve">Risco residual aceite por</t>
  </si>
  <si>
    <t xml:space="preserve">Exemplo: cifra por ransomware do servidor de ficheiros</t>
  </si>
  <si>
    <t xml:space="preserve">Servidor de ficheiros</t>
  </si>
  <si>
    <t xml:space="preserve">Reduzir</t>
  </si>
  <si>
    <t xml:space="preserve">Cópias de segurança imutáveis; MFA</t>
  </si>
  <si>
    <t xml:space="preserve">Responsável de TI</t>
  </si>
  <si>
    <t xml:space="preserve">2026-12-31</t>
  </si>
  <si>
    <t xml:space="preserve">Responsável de cibersegurança</t>
  </si>
  <si>
    <t xml:space="preserve">Cláusula</t>
  </si>
  <si>
    <t xml:space="preserve">Documento da entidade</t>
  </si>
  <si>
    <t xml:space="preserve">Local</t>
  </si>
  <si>
    <t xml:space="preserve">Versão e data</t>
  </si>
  <si>
    <t xml:space="preserve">4.3</t>
  </si>
  <si>
    <t xml:space="preserve">Âmbito do sistema de gestão da IA</t>
  </si>
  <si>
    <t xml:space="preserve">5.2</t>
  </si>
  <si>
    <t xml:space="preserve">6.1.1</t>
  </si>
  <si>
    <t xml:space="preserve">Ações para tratar riscos e oportunidades</t>
  </si>
  <si>
    <t xml:space="preserve">6.1.2</t>
  </si>
  <si>
    <t xml:space="preserve">Avaliação de riscos de IA</t>
  </si>
  <si>
    <t xml:space="preserve">6.1.3</t>
  </si>
  <si>
    <t xml:space="preserve">Tratamento de riscos de IA e Declaração de Aplicabilidade</t>
  </si>
  <si>
    <t xml:space="preserve">6.1.4</t>
  </si>
  <si>
    <t xml:space="preserve">Avaliação de impacto dos sistemas de IA</t>
  </si>
  <si>
    <t xml:space="preserve">6.2</t>
  </si>
  <si>
    <t xml:space="preserve">Objetivos de IA e planeamento para os atingir</t>
  </si>
  <si>
    <t xml:space="preserve">7.2</t>
  </si>
  <si>
    <t xml:space="preserve">Competência</t>
  </si>
  <si>
    <t xml:space="preserve">7.5</t>
  </si>
  <si>
    <t xml:space="preserve">Informação documentada</t>
  </si>
  <si>
    <t xml:space="preserve">8.1</t>
  </si>
  <si>
    <t xml:space="preserve">Planeamento e controlo operacional</t>
  </si>
  <si>
    <t xml:space="preserve">8.2</t>
  </si>
  <si>
    <t xml:space="preserve">Avaliação de riscos de IA (operação)</t>
  </si>
  <si>
    <t xml:space="preserve">8.3</t>
  </si>
  <si>
    <t xml:space="preserve">Tratamento de riscos de IA (operação)</t>
  </si>
  <si>
    <t xml:space="preserve">8.4</t>
  </si>
  <si>
    <t xml:space="preserve">Avaliação de impacto dos sistemas de IA (operação)</t>
  </si>
  <si>
    <t xml:space="preserve">9.1</t>
  </si>
  <si>
    <t xml:space="preserve">Monitorização, medição, análise e avaliação</t>
  </si>
  <si>
    <t xml:space="preserve">9.2</t>
  </si>
  <si>
    <t xml:space="preserve">Auditoria interna</t>
  </si>
  <si>
    <t xml:space="preserve">9.3</t>
  </si>
  <si>
    <t xml:space="preserve">Revisão pela gestão</t>
  </si>
  <si>
    <t xml:space="preserve">10.2</t>
  </si>
  <si>
    <t xml:space="preserve">Não conformidades e ações corretivas</t>
  </si>
  <si>
    <t xml:space="preserve">Inventário de sistemas de IA no âmbito (cláusula 4.3). Papel: fornecedor, produtor, cliente ou utilizador (4.1).</t>
  </si>
  <si>
    <t xml:space="preserve">Sistema de IA</t>
  </si>
  <si>
    <t xml:space="preserve">Finalidade</t>
  </si>
  <si>
    <t xml:space="preserve">Papel da organização</t>
  </si>
  <si>
    <t xml:space="preserve">Fornecedor / modelo</t>
  </si>
  <si>
    <t xml:space="preserve">Dados utilizados</t>
  </si>
  <si>
    <t xml:space="preserve">Pessoas afetadas</t>
  </si>
  <si>
    <t xml:space="preserve">Nível de automação</t>
  </si>
  <si>
    <t xml:space="preserve">Avaliação de impacto (data)</t>
  </si>
  <si>
    <t xml:space="preserve">Estado</t>
  </si>
  <si>
    <t xml:space="preserve">Tipo</t>
  </si>
  <si>
    <t xml:space="preserve">Ref.</t>
  </si>
  <si>
    <t xml:space="preserve">Tema (guia AnkoraOne)</t>
  </si>
  <si>
    <t xml:space="preserve">Relevante? (sim/não)</t>
  </si>
  <si>
    <t xml:space="preserve">Como é tratado</t>
  </si>
  <si>
    <t xml:space="preserve">Objetivo</t>
  </si>
  <si>
    <t xml:space="preserve">C.2.1</t>
  </si>
  <si>
    <t xml:space="preserve">Responsabilização</t>
  </si>
  <si>
    <t xml:space="preserve">A IA pode alterar quem responde pelas decisões; é preciso manter claro quem é responsável.</t>
  </si>
  <si>
    <t xml:space="preserve">C.2.2</t>
  </si>
  <si>
    <t xml:space="preserve">Competência em IA</t>
  </si>
  <si>
    <t xml:space="preserve">Equipas com competências multidisciplinares para avaliar, desenvolver e implementar IA.</t>
  </si>
  <si>
    <t xml:space="preserve">C.2.3</t>
  </si>
  <si>
    <t xml:space="preserve">Disponibilidade e qualidade dos dados de treino e teste</t>
  </si>
  <si>
    <t xml:space="preserve">Sistemas de aprendizagem automática dependem de dados de treino, validação e teste adequados.</t>
  </si>
  <si>
    <t xml:space="preserve">C.2.4</t>
  </si>
  <si>
    <t xml:space="preserve">Impacto ambiental</t>
  </si>
  <si>
    <t xml:space="preserve">A IA pode ter efeitos positivos e negativos no ambiente.</t>
  </si>
  <si>
    <t xml:space="preserve">C.2.5</t>
  </si>
  <si>
    <t xml:space="preserve">Equidade</t>
  </si>
  <si>
    <t xml:space="preserve">Decisões automatizadas mal aplicadas podem ser injustas para pessoas ou grupos.</t>
  </si>
  <si>
    <t xml:space="preserve">C.2.6</t>
  </si>
  <si>
    <t xml:space="preserve">Manutenibilidade</t>
  </si>
  <si>
    <t xml:space="preserve">Capacidade de corrigir e adaptar o sistema a novos requisitos.</t>
  </si>
  <si>
    <t xml:space="preserve">C.2.7</t>
  </si>
  <si>
    <t xml:space="preserve">Privacidade</t>
  </si>
  <si>
    <t xml:space="preserve">O uso indevido ou a divulgação de dados pessoais pode prejudicar os titulares.</t>
  </si>
  <si>
    <t xml:space="preserve">C.2.8</t>
  </si>
  <si>
    <t xml:space="preserve">Robustez</t>
  </si>
  <si>
    <t xml:space="preserve">Desempenho comparável com dados novos e com os dados de operação habituais.</t>
  </si>
  <si>
    <t xml:space="preserve">C.2.9</t>
  </si>
  <si>
    <t xml:space="preserve">Segurança física (safety)</t>
  </si>
  <si>
    <t xml:space="preserve">O sistema não deve pôr em perigo a vida, a saúde, os bens ou o ambiente.</t>
  </si>
  <si>
    <t xml:space="preserve">C.2.10</t>
  </si>
  <si>
    <t xml:space="preserve">Segurança (security)</t>
  </si>
  <si>
    <t xml:space="preserve">Ameaças próprias da IA, para além da segurança clássica da informação.</t>
  </si>
  <si>
    <t xml:space="preserve">C.2.11</t>
  </si>
  <si>
    <t xml:space="preserve">Transparência e explicabilidade</t>
  </si>
  <si>
    <t xml:space="preserve">Informação compreensível sobre a organização, o sistema e os fatores que influenciam os resultados.</t>
  </si>
  <si>
    <t xml:space="preserve">Fonte de risco</t>
  </si>
  <si>
    <t xml:space="preserve">C.3.1</t>
  </si>
  <si>
    <t xml:space="preserve">Complexidade do ambiente</t>
  </si>
  <si>
    <t xml:space="preserve">Ambientes com muitas situações possíveis tornam o desempenho incerto.</t>
  </si>
  <si>
    <t xml:space="preserve">C.3.2</t>
  </si>
  <si>
    <t xml:space="preserve">Falta de transparência e explicabilidade</t>
  </si>
  <si>
    <t xml:space="preserve">Não conseguir explicar o sistema afeta a confiança e a responsabilização.</t>
  </si>
  <si>
    <t xml:space="preserve">C.3.3</t>
  </si>
  <si>
    <t xml:space="preserve">Mais automação pode afetar a segurança física, a equidade ou a segurança.</t>
  </si>
  <si>
    <t xml:space="preserve">C.3.4</t>
  </si>
  <si>
    <t xml:space="preserve">Aprendizagem automática</t>
  </si>
  <si>
    <t xml:space="preserve">A qualidade e a recolha dos dados de treino podem afetar a robustez e a segurança (por exemplo envenenamento de dados).</t>
  </si>
  <si>
    <t xml:space="preserve">C.3.5</t>
  </si>
  <si>
    <t xml:space="preserve">Hardware</t>
  </si>
  <si>
    <t xml:space="preserve">Erros de hardware ou na transferência de modelos entre sistemas.</t>
  </si>
  <si>
    <t xml:space="preserve">C.3.6</t>
  </si>
  <si>
    <t xml:space="preserve">Ciclo de vida</t>
  </si>
  <si>
    <t xml:space="preserve">Falhas de conceção, implementação, manutenção ou desativação.</t>
  </si>
  <si>
    <t xml:space="preserve">C.3.7</t>
  </si>
  <si>
    <t xml:space="preserve">Maturidade da tecnologia</t>
  </si>
  <si>
    <t xml:space="preserve">Tecnologia pouco madura (limites desconhecidos, desvio de desempenho) ou excesso de confiança na madura.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</si>
</sst>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70A13"/>
      <name val="Arial"/>
      <family val="0"/>
      <charset val="1"/>
    </font>
    <font>
      <sz val="10"/>
      <color rgb="FF5B6474"/>
      <name val="Arial"/>
      <family val="0"/>
      <charset val="1"/>
    </font>
    <font>
      <b val="true"/>
      <sz val="11"/>
      <color rgb="FF070A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10"/>
      <color rgb="FF8A6620"/>
      <name val="Arial"/>
      <family val="0"/>
      <charset val="1"/>
    </font>
    <font>
      <i val="true"/>
      <sz val="9"/>
      <color rgb="FF5B6474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070A13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70A1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5B647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62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4"/>
      <rgbColor rgb="FF969696"/>
      <rgbColor rgb="FF003366"/>
      <rgbColor rgb="FF339966"/>
      <rgbColor rgb="FF070A1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5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23.85" hidden="false" customHeight="false" outlineLevel="0" collapsed="false">
      <c r="A13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8"/>
  </cols>
  <sheetData>
    <row r="1" customFormat="false" ht="46.2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</row>
    <row r="2" customFormat="false" ht="22.35" hidden="false" customHeight="false" outlineLevel="0" collapsed="false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8"/>
      <c r="H2" s="8"/>
      <c r="I2" s="8"/>
      <c r="J2" s="8"/>
      <c r="K2" s="8"/>
    </row>
    <row r="3" customFormat="false" ht="32.8" hidden="false" customHeight="false" outlineLevel="0" collapsed="false">
      <c r="A3" s="7" t="s">
        <v>28</v>
      </c>
      <c r="B3" s="7" t="s">
        <v>23</v>
      </c>
      <c r="C3" s="7" t="s">
        <v>29</v>
      </c>
      <c r="D3" s="7" t="s">
        <v>30</v>
      </c>
      <c r="E3" s="7" t="s">
        <v>31</v>
      </c>
      <c r="F3" s="7" t="s">
        <v>32</v>
      </c>
      <c r="G3" s="8"/>
      <c r="H3" s="8"/>
      <c r="I3" s="8"/>
      <c r="J3" s="8"/>
      <c r="K3" s="8"/>
    </row>
    <row r="4" customFormat="false" ht="22.35" hidden="false" customHeight="false" outlineLevel="0" collapsed="false">
      <c r="A4" s="7" t="s">
        <v>33</v>
      </c>
      <c r="B4" s="7" t="s">
        <v>23</v>
      </c>
      <c r="C4" s="7" t="s">
        <v>34</v>
      </c>
      <c r="D4" s="7" t="s">
        <v>35</v>
      </c>
      <c r="E4" s="7" t="s">
        <v>36</v>
      </c>
      <c r="F4" s="7" t="s">
        <v>32</v>
      </c>
      <c r="G4" s="8"/>
      <c r="H4" s="8"/>
      <c r="I4" s="8"/>
      <c r="J4" s="8"/>
      <c r="K4" s="8"/>
    </row>
    <row r="5" customFormat="false" ht="22.35" hidden="false" customHeight="false" outlineLevel="0" collapsed="false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8"/>
      <c r="H5" s="8"/>
      <c r="I5" s="8"/>
      <c r="J5" s="8"/>
      <c r="K5" s="8"/>
    </row>
    <row r="6" customFormat="false" ht="32.8" hidden="false" customHeight="false" outlineLevel="0" collapsed="false">
      <c r="A6" s="7" t="s">
        <v>43</v>
      </c>
      <c r="B6" s="7" t="s">
        <v>38</v>
      </c>
      <c r="C6" s="7" t="s">
        <v>44</v>
      </c>
      <c r="D6" s="7" t="s">
        <v>45</v>
      </c>
      <c r="E6" s="7" t="s">
        <v>46</v>
      </c>
      <c r="F6" s="7" t="s">
        <v>47</v>
      </c>
      <c r="G6" s="8"/>
      <c r="H6" s="8"/>
      <c r="I6" s="8"/>
      <c r="J6" s="8"/>
      <c r="K6" s="8"/>
    </row>
    <row r="7" customFormat="false" ht="22.35" hidden="false" customHeight="false" outlineLevel="0" collapsed="false">
      <c r="A7" s="7" t="s">
        <v>48</v>
      </c>
      <c r="B7" s="7" t="s">
        <v>49</v>
      </c>
      <c r="C7" s="7" t="s">
        <v>50</v>
      </c>
      <c r="D7" s="7" t="s">
        <v>51</v>
      </c>
      <c r="E7" s="7" t="s">
        <v>52</v>
      </c>
      <c r="F7" s="7" t="s">
        <v>53</v>
      </c>
      <c r="G7" s="8"/>
      <c r="H7" s="8"/>
      <c r="I7" s="8"/>
      <c r="J7" s="8"/>
      <c r="K7" s="8"/>
    </row>
    <row r="8" customFormat="false" ht="22.35" hidden="false" customHeight="false" outlineLevel="0" collapsed="false">
      <c r="A8" s="7" t="s">
        <v>54</v>
      </c>
      <c r="B8" s="7" t="s">
        <v>49</v>
      </c>
      <c r="C8" s="7" t="s">
        <v>55</v>
      </c>
      <c r="D8" s="7" t="s">
        <v>56</v>
      </c>
      <c r="E8" s="7" t="s">
        <v>57</v>
      </c>
      <c r="F8" s="7" t="s">
        <v>58</v>
      </c>
      <c r="G8" s="8"/>
      <c r="H8" s="8"/>
      <c r="I8" s="8"/>
      <c r="J8" s="8"/>
      <c r="K8" s="8"/>
    </row>
    <row r="9" customFormat="false" ht="22.35" hidden="false" customHeight="false" outlineLevel="0" collapsed="false">
      <c r="A9" s="7" t="s">
        <v>59</v>
      </c>
      <c r="B9" s="7" t="s">
        <v>49</v>
      </c>
      <c r="C9" s="7" t="s">
        <v>60</v>
      </c>
      <c r="D9" s="7" t="s">
        <v>61</v>
      </c>
      <c r="E9" s="7" t="s">
        <v>62</v>
      </c>
      <c r="F9" s="7" t="s">
        <v>53</v>
      </c>
      <c r="G9" s="8"/>
      <c r="H9" s="8"/>
      <c r="I9" s="8"/>
      <c r="J9" s="8"/>
      <c r="K9" s="8"/>
    </row>
    <row r="10" customFormat="false" ht="22.35" hidden="false" customHeight="false" outlineLevel="0" collapsed="false">
      <c r="A10" s="7" t="s">
        <v>63</v>
      </c>
      <c r="B10" s="7" t="s">
        <v>49</v>
      </c>
      <c r="C10" s="7" t="s">
        <v>64</v>
      </c>
      <c r="D10" s="7" t="s">
        <v>65</v>
      </c>
      <c r="E10" s="7" t="s">
        <v>66</v>
      </c>
      <c r="F10" s="7" t="s">
        <v>67</v>
      </c>
      <c r="G10" s="8"/>
      <c r="H10" s="8"/>
      <c r="I10" s="8"/>
      <c r="J10" s="8"/>
      <c r="K10" s="8"/>
    </row>
    <row r="11" customFormat="false" ht="22.35" hidden="false" customHeight="false" outlineLevel="0" collapsed="false">
      <c r="A11" s="7" t="s">
        <v>68</v>
      </c>
      <c r="B11" s="7" t="s">
        <v>49</v>
      </c>
      <c r="C11" s="7" t="s">
        <v>69</v>
      </c>
      <c r="D11" s="7" t="s">
        <v>70</v>
      </c>
      <c r="E11" s="7" t="s">
        <v>71</v>
      </c>
      <c r="F11" s="7" t="s">
        <v>72</v>
      </c>
      <c r="G11" s="8"/>
      <c r="H11" s="8"/>
      <c r="I11" s="8"/>
      <c r="J11" s="8"/>
      <c r="K11" s="8"/>
    </row>
    <row r="12" customFormat="false" ht="32.8" hidden="false" customHeight="false" outlineLevel="0" collapsed="false">
      <c r="A12" s="7" t="s">
        <v>73</v>
      </c>
      <c r="B12" s="7" t="s">
        <v>74</v>
      </c>
      <c r="C12" s="7" t="s">
        <v>75</v>
      </c>
      <c r="D12" s="7" t="s">
        <v>76</v>
      </c>
      <c r="E12" s="7" t="s">
        <v>77</v>
      </c>
      <c r="F12" s="7" t="s">
        <v>78</v>
      </c>
      <c r="G12" s="8"/>
      <c r="H12" s="8"/>
      <c r="I12" s="8"/>
      <c r="J12" s="8"/>
      <c r="K12" s="8"/>
    </row>
    <row r="13" customFormat="false" ht="22.35" hidden="false" customHeight="false" outlineLevel="0" collapsed="false">
      <c r="A13" s="7" t="s">
        <v>79</v>
      </c>
      <c r="B13" s="7" t="s">
        <v>74</v>
      </c>
      <c r="C13" s="7" t="s">
        <v>80</v>
      </c>
      <c r="D13" s="7" t="s">
        <v>81</v>
      </c>
      <c r="E13" s="7" t="s">
        <v>82</v>
      </c>
      <c r="F13" s="7"/>
      <c r="G13" s="8"/>
      <c r="H13" s="8"/>
      <c r="I13" s="8"/>
      <c r="J13" s="8"/>
      <c r="K13" s="8"/>
    </row>
    <row r="14" customFormat="false" ht="32.8" hidden="false" customHeight="false" outlineLevel="0" collapsed="false">
      <c r="A14" s="7" t="s">
        <v>83</v>
      </c>
      <c r="B14" s="7" t="s">
        <v>74</v>
      </c>
      <c r="C14" s="7" t="s">
        <v>84</v>
      </c>
      <c r="D14" s="7" t="s">
        <v>85</v>
      </c>
      <c r="E14" s="7" t="s">
        <v>86</v>
      </c>
      <c r="F14" s="7" t="s">
        <v>87</v>
      </c>
      <c r="G14" s="8"/>
      <c r="H14" s="8"/>
      <c r="I14" s="8"/>
      <c r="J14" s="8"/>
      <c r="K14" s="8"/>
    </row>
    <row r="15" customFormat="false" ht="22.35" hidden="false" customHeight="false" outlineLevel="0" collapsed="false">
      <c r="A15" s="7" t="s">
        <v>88</v>
      </c>
      <c r="B15" s="7" t="s">
        <v>74</v>
      </c>
      <c r="C15" s="7" t="s">
        <v>89</v>
      </c>
      <c r="D15" s="7" t="s">
        <v>90</v>
      </c>
      <c r="E15" s="7" t="s">
        <v>91</v>
      </c>
      <c r="F15" s="7"/>
      <c r="G15" s="8"/>
      <c r="H15" s="8"/>
      <c r="I15" s="8"/>
      <c r="J15" s="8"/>
      <c r="K15" s="8"/>
    </row>
    <row r="16" customFormat="false" ht="22.35" hidden="false" customHeight="false" outlineLevel="0" collapsed="false">
      <c r="A16" s="7" t="s">
        <v>92</v>
      </c>
      <c r="B16" s="7" t="s">
        <v>93</v>
      </c>
      <c r="C16" s="7" t="s">
        <v>94</v>
      </c>
      <c r="D16" s="7" t="s">
        <v>95</v>
      </c>
      <c r="E16" s="7" t="s">
        <v>96</v>
      </c>
      <c r="F16" s="7" t="s">
        <v>97</v>
      </c>
      <c r="G16" s="8"/>
      <c r="H16" s="8"/>
      <c r="I16" s="8"/>
      <c r="J16" s="8"/>
      <c r="K16" s="8"/>
    </row>
    <row r="17" customFormat="false" ht="22.35" hidden="false" customHeight="false" outlineLevel="0" collapsed="false">
      <c r="A17" s="7" t="s">
        <v>98</v>
      </c>
      <c r="B17" s="7" t="s">
        <v>93</v>
      </c>
      <c r="C17" s="7" t="s">
        <v>99</v>
      </c>
      <c r="D17" s="7" t="s">
        <v>100</v>
      </c>
      <c r="E17" s="7" t="s">
        <v>101</v>
      </c>
      <c r="F17" s="7" t="s">
        <v>102</v>
      </c>
      <c r="G17" s="8"/>
      <c r="H17" s="8"/>
      <c r="I17" s="8"/>
      <c r="J17" s="8"/>
      <c r="K17" s="8"/>
    </row>
    <row r="18" customFormat="false" ht="22.35" hidden="false" customHeight="false" outlineLevel="0" collapsed="false">
      <c r="A18" s="7" t="s">
        <v>103</v>
      </c>
      <c r="B18" s="7" t="s">
        <v>93</v>
      </c>
      <c r="C18" s="7" t="s">
        <v>104</v>
      </c>
      <c r="D18" s="7" t="s">
        <v>105</v>
      </c>
      <c r="E18" s="7" t="s">
        <v>106</v>
      </c>
      <c r="F18" s="7" t="s">
        <v>107</v>
      </c>
      <c r="G18" s="8"/>
      <c r="H18" s="8"/>
      <c r="I18" s="8"/>
      <c r="J18" s="8"/>
      <c r="K18" s="8"/>
    </row>
    <row r="19" customFormat="false" ht="22.35" hidden="false" customHeight="false" outlineLevel="0" collapsed="false">
      <c r="A19" s="7" t="s">
        <v>108</v>
      </c>
      <c r="B19" s="7" t="s">
        <v>93</v>
      </c>
      <c r="C19" s="7" t="s">
        <v>109</v>
      </c>
      <c r="D19" s="7" t="s">
        <v>110</v>
      </c>
      <c r="E19" s="7" t="s">
        <v>111</v>
      </c>
      <c r="F19" s="7" t="s">
        <v>97</v>
      </c>
      <c r="G19" s="8"/>
      <c r="H19" s="8"/>
      <c r="I19" s="8"/>
      <c r="J19" s="8"/>
      <c r="K19" s="8"/>
    </row>
    <row r="20" customFormat="false" ht="22.35" hidden="false" customHeight="false" outlineLevel="0" collapsed="false">
      <c r="A20" s="7" t="s">
        <v>112</v>
      </c>
      <c r="B20" s="7" t="s">
        <v>93</v>
      </c>
      <c r="C20" s="7" t="s">
        <v>113</v>
      </c>
      <c r="D20" s="7" t="s">
        <v>114</v>
      </c>
      <c r="E20" s="7" t="s">
        <v>115</v>
      </c>
      <c r="F20" s="7" t="s">
        <v>116</v>
      </c>
      <c r="G20" s="8"/>
      <c r="H20" s="8"/>
      <c r="I20" s="8"/>
      <c r="J20" s="8"/>
      <c r="K20" s="8"/>
    </row>
    <row r="21" customFormat="false" ht="22.35" hidden="false" customHeight="false" outlineLevel="0" collapsed="false">
      <c r="A21" s="7" t="s">
        <v>117</v>
      </c>
      <c r="B21" s="7" t="s">
        <v>93</v>
      </c>
      <c r="C21" s="7" t="s">
        <v>118</v>
      </c>
      <c r="D21" s="7" t="s">
        <v>119</v>
      </c>
      <c r="E21" s="7" t="s">
        <v>120</v>
      </c>
      <c r="F21" s="7" t="s">
        <v>121</v>
      </c>
      <c r="G21" s="8"/>
      <c r="H21" s="8"/>
      <c r="I21" s="8"/>
      <c r="J21" s="8"/>
      <c r="K21" s="8"/>
    </row>
    <row r="22" customFormat="false" ht="22.35" hidden="false" customHeight="false" outlineLevel="0" collapsed="false">
      <c r="A22" s="7" t="s">
        <v>122</v>
      </c>
      <c r="B22" s="7" t="s">
        <v>93</v>
      </c>
      <c r="C22" s="7" t="s">
        <v>123</v>
      </c>
      <c r="D22" s="7" t="s">
        <v>124</v>
      </c>
      <c r="E22" s="7" t="s">
        <v>125</v>
      </c>
      <c r="F22" s="7" t="s">
        <v>126</v>
      </c>
      <c r="G22" s="8"/>
      <c r="H22" s="8"/>
      <c r="I22" s="8"/>
      <c r="J22" s="8"/>
      <c r="K22" s="8"/>
    </row>
    <row r="23" customFormat="false" ht="22.35" hidden="false" customHeight="false" outlineLevel="0" collapsed="false">
      <c r="A23" s="7" t="s">
        <v>127</v>
      </c>
      <c r="B23" s="7" t="s">
        <v>93</v>
      </c>
      <c r="C23" s="7" t="s">
        <v>128</v>
      </c>
      <c r="D23" s="7" t="s">
        <v>129</v>
      </c>
      <c r="E23" s="7" t="s">
        <v>130</v>
      </c>
      <c r="F23" s="7" t="s">
        <v>131</v>
      </c>
      <c r="G23" s="8"/>
      <c r="H23" s="8"/>
      <c r="I23" s="8"/>
      <c r="J23" s="8"/>
      <c r="K23" s="8"/>
    </row>
    <row r="24" customFormat="false" ht="22.35" hidden="false" customHeight="false" outlineLevel="0" collapsed="false">
      <c r="A24" s="7" t="s">
        <v>132</v>
      </c>
      <c r="B24" s="7" t="s">
        <v>93</v>
      </c>
      <c r="C24" s="7" t="s">
        <v>133</v>
      </c>
      <c r="D24" s="7" t="s">
        <v>134</v>
      </c>
      <c r="E24" s="7" t="s">
        <v>135</v>
      </c>
      <c r="F24" s="7" t="s">
        <v>136</v>
      </c>
      <c r="G24" s="8"/>
      <c r="H24" s="8"/>
      <c r="I24" s="8"/>
      <c r="J24" s="8"/>
      <c r="K24" s="8"/>
    </row>
    <row r="25" customFormat="false" ht="22.35" hidden="false" customHeight="false" outlineLevel="0" collapsed="false">
      <c r="A25" s="7" t="s">
        <v>137</v>
      </c>
      <c r="B25" s="7" t="s">
        <v>138</v>
      </c>
      <c r="C25" s="7" t="s">
        <v>139</v>
      </c>
      <c r="D25" s="7" t="s">
        <v>140</v>
      </c>
      <c r="E25" s="7" t="s">
        <v>141</v>
      </c>
      <c r="F25" s="7" t="s">
        <v>142</v>
      </c>
      <c r="G25" s="8"/>
      <c r="H25" s="8"/>
      <c r="I25" s="8"/>
      <c r="J25" s="8"/>
      <c r="K25" s="8"/>
    </row>
    <row r="26" customFormat="false" ht="22.35" hidden="false" customHeight="false" outlineLevel="0" collapsed="false">
      <c r="A26" s="7" t="s">
        <v>143</v>
      </c>
      <c r="B26" s="7" t="s">
        <v>138</v>
      </c>
      <c r="C26" s="7" t="s">
        <v>144</v>
      </c>
      <c r="D26" s="7" t="s">
        <v>145</v>
      </c>
      <c r="E26" s="7" t="s">
        <v>146</v>
      </c>
      <c r="F26" s="7" t="s">
        <v>147</v>
      </c>
      <c r="G26" s="8"/>
      <c r="H26" s="8"/>
      <c r="I26" s="8"/>
      <c r="J26" s="8"/>
      <c r="K26" s="8"/>
    </row>
    <row r="27" customFormat="false" ht="22.35" hidden="false" customHeight="false" outlineLevel="0" collapsed="false">
      <c r="A27" s="7" t="s">
        <v>148</v>
      </c>
      <c r="B27" s="7" t="s">
        <v>138</v>
      </c>
      <c r="C27" s="7" t="s">
        <v>149</v>
      </c>
      <c r="D27" s="7" t="s">
        <v>150</v>
      </c>
      <c r="E27" s="7" t="s">
        <v>151</v>
      </c>
      <c r="F27" s="7"/>
      <c r="G27" s="8"/>
      <c r="H27" s="8"/>
      <c r="I27" s="8"/>
      <c r="J27" s="8"/>
      <c r="K27" s="8"/>
    </row>
    <row r="28" customFormat="false" ht="22.35" hidden="false" customHeight="false" outlineLevel="0" collapsed="false">
      <c r="A28" s="7" t="s">
        <v>152</v>
      </c>
      <c r="B28" s="7" t="s">
        <v>138</v>
      </c>
      <c r="C28" s="7" t="s">
        <v>153</v>
      </c>
      <c r="D28" s="7" t="s">
        <v>154</v>
      </c>
      <c r="E28" s="7" t="s">
        <v>155</v>
      </c>
      <c r="F28" s="7" t="s">
        <v>156</v>
      </c>
      <c r="G28" s="8"/>
      <c r="H28" s="8"/>
      <c r="I28" s="8"/>
      <c r="J28" s="8"/>
      <c r="K28" s="8"/>
    </row>
    <row r="29" customFormat="false" ht="22.35" hidden="false" customHeight="false" outlineLevel="0" collapsed="false">
      <c r="A29" s="7" t="s">
        <v>157</v>
      </c>
      <c r="B29" s="7" t="s">
        <v>138</v>
      </c>
      <c r="C29" s="7" t="s">
        <v>158</v>
      </c>
      <c r="D29" s="7" t="s">
        <v>159</v>
      </c>
      <c r="E29" s="7" t="s">
        <v>160</v>
      </c>
      <c r="F29" s="7" t="s">
        <v>161</v>
      </c>
      <c r="G29" s="8"/>
      <c r="H29" s="8"/>
      <c r="I29" s="8"/>
      <c r="J29" s="8"/>
      <c r="K29" s="8"/>
    </row>
    <row r="30" customFormat="false" ht="22.35" hidden="false" customHeight="false" outlineLevel="0" collapsed="false">
      <c r="A30" s="7" t="s">
        <v>162</v>
      </c>
      <c r="B30" s="7" t="s">
        <v>163</v>
      </c>
      <c r="C30" s="7" t="s">
        <v>164</v>
      </c>
      <c r="D30" s="7" t="s">
        <v>165</v>
      </c>
      <c r="E30" s="7" t="s">
        <v>166</v>
      </c>
      <c r="F30" s="7"/>
      <c r="G30" s="8"/>
      <c r="H30" s="8"/>
      <c r="I30" s="8"/>
      <c r="J30" s="8"/>
      <c r="K30" s="8"/>
    </row>
    <row r="31" customFormat="false" ht="22.35" hidden="false" customHeight="false" outlineLevel="0" collapsed="false">
      <c r="A31" s="7" t="s">
        <v>167</v>
      </c>
      <c r="B31" s="7" t="s">
        <v>163</v>
      </c>
      <c r="C31" s="7" t="s">
        <v>168</v>
      </c>
      <c r="D31" s="7" t="s">
        <v>169</v>
      </c>
      <c r="E31" s="7" t="s">
        <v>170</v>
      </c>
      <c r="F31" s="7"/>
      <c r="G31" s="8"/>
      <c r="H31" s="8"/>
      <c r="I31" s="8"/>
      <c r="J31" s="8"/>
      <c r="K31" s="8"/>
    </row>
    <row r="32" customFormat="false" ht="22.35" hidden="false" customHeight="false" outlineLevel="0" collapsed="false">
      <c r="A32" s="7" t="s">
        <v>171</v>
      </c>
      <c r="B32" s="7" t="s">
        <v>163</v>
      </c>
      <c r="C32" s="7" t="s">
        <v>172</v>
      </c>
      <c r="D32" s="7" t="s">
        <v>173</v>
      </c>
      <c r="E32" s="7" t="s">
        <v>174</v>
      </c>
      <c r="F32" s="7" t="s">
        <v>175</v>
      </c>
      <c r="G32" s="8"/>
      <c r="H32" s="8"/>
      <c r="I32" s="8"/>
      <c r="J32" s="8"/>
      <c r="K32" s="8"/>
    </row>
    <row r="33" customFormat="false" ht="22.35" hidden="false" customHeight="false" outlineLevel="0" collapsed="false">
      <c r="A33" s="7" t="s">
        <v>176</v>
      </c>
      <c r="B33" s="7" t="s">
        <v>163</v>
      </c>
      <c r="C33" s="7" t="s">
        <v>163</v>
      </c>
      <c r="D33" s="7" t="s">
        <v>177</v>
      </c>
      <c r="E33" s="7" t="s">
        <v>178</v>
      </c>
      <c r="F33" s="7" t="s">
        <v>179</v>
      </c>
      <c r="G33" s="8"/>
      <c r="H33" s="8"/>
      <c r="I33" s="8"/>
      <c r="J33" s="8"/>
      <c r="K33" s="8"/>
    </row>
    <row r="34" customFormat="false" ht="22.35" hidden="false" customHeight="false" outlineLevel="0" collapsed="false">
      <c r="A34" s="7" t="s">
        <v>180</v>
      </c>
      <c r="B34" s="7" t="s">
        <v>181</v>
      </c>
      <c r="C34" s="7" t="s">
        <v>182</v>
      </c>
      <c r="D34" s="7" t="s">
        <v>183</v>
      </c>
      <c r="E34" s="7" t="s">
        <v>184</v>
      </c>
      <c r="F34" s="7" t="s">
        <v>185</v>
      </c>
      <c r="G34" s="8"/>
      <c r="H34" s="8"/>
      <c r="I34" s="8"/>
      <c r="J34" s="8"/>
      <c r="K34" s="8"/>
    </row>
    <row r="35" customFormat="false" ht="22.35" hidden="false" customHeight="false" outlineLevel="0" collapsed="false">
      <c r="A35" s="7" t="s">
        <v>186</v>
      </c>
      <c r="B35" s="7" t="s">
        <v>181</v>
      </c>
      <c r="C35" s="7" t="s">
        <v>187</v>
      </c>
      <c r="D35" s="7" t="s">
        <v>188</v>
      </c>
      <c r="E35" s="7" t="s">
        <v>189</v>
      </c>
      <c r="F35" s="7" t="s">
        <v>185</v>
      </c>
      <c r="G35" s="8"/>
      <c r="H35" s="8"/>
      <c r="I35" s="8"/>
      <c r="J35" s="8"/>
      <c r="K35" s="8"/>
    </row>
    <row r="36" customFormat="false" ht="22.35" hidden="false" customHeight="false" outlineLevel="0" collapsed="false">
      <c r="A36" s="7" t="s">
        <v>190</v>
      </c>
      <c r="B36" s="7" t="s">
        <v>181</v>
      </c>
      <c r="C36" s="7" t="s">
        <v>191</v>
      </c>
      <c r="D36" s="7" t="s">
        <v>192</v>
      </c>
      <c r="E36" s="7" t="s">
        <v>193</v>
      </c>
      <c r="F36" s="7" t="s">
        <v>185</v>
      </c>
      <c r="G36" s="8"/>
      <c r="H36" s="8"/>
      <c r="I36" s="8"/>
      <c r="J36" s="8"/>
      <c r="K36" s="8"/>
    </row>
    <row r="37" customFormat="false" ht="22.35" hidden="false" customHeight="false" outlineLevel="0" collapsed="false">
      <c r="A37" s="7" t="s">
        <v>194</v>
      </c>
      <c r="B37" s="7" t="s">
        <v>195</v>
      </c>
      <c r="C37" s="7" t="s">
        <v>196</v>
      </c>
      <c r="D37" s="7" t="s">
        <v>197</v>
      </c>
      <c r="E37" s="7" t="s">
        <v>198</v>
      </c>
      <c r="F37" s="7" t="s">
        <v>199</v>
      </c>
      <c r="G37" s="8"/>
      <c r="H37" s="8"/>
      <c r="I37" s="8"/>
      <c r="J37" s="8"/>
      <c r="K37" s="8"/>
    </row>
    <row r="38" customFormat="false" ht="22.35" hidden="false" customHeight="false" outlineLevel="0" collapsed="false">
      <c r="A38" s="7" t="s">
        <v>200</v>
      </c>
      <c r="B38" s="7" t="s">
        <v>195</v>
      </c>
      <c r="C38" s="7" t="s">
        <v>201</v>
      </c>
      <c r="D38" s="7" t="s">
        <v>202</v>
      </c>
      <c r="E38" s="7" t="s">
        <v>203</v>
      </c>
      <c r="F38" s="7" t="s">
        <v>204</v>
      </c>
      <c r="G38" s="8"/>
      <c r="H38" s="8"/>
      <c r="I38" s="8"/>
      <c r="J38" s="8"/>
      <c r="K38" s="8"/>
    </row>
    <row r="39" customFormat="false" ht="32.8" hidden="false" customHeight="false" outlineLevel="0" collapsed="false">
      <c r="A39" s="7" t="s">
        <v>205</v>
      </c>
      <c r="B39" s="7" t="s">
        <v>195</v>
      </c>
      <c r="C39" s="7" t="s">
        <v>206</v>
      </c>
      <c r="D39" s="7" t="s">
        <v>207</v>
      </c>
      <c r="E39" s="7" t="s">
        <v>208</v>
      </c>
      <c r="F39" s="7" t="s">
        <v>179</v>
      </c>
      <c r="G39" s="8"/>
      <c r="H39" s="8"/>
      <c r="I39" s="8"/>
      <c r="J39" s="8"/>
      <c r="K39" s="8"/>
    </row>
  </sheetData>
  <autoFilter ref="A1:K39"/>
  <dataValidations count="2">
    <dataValidation allowBlank="true" errorStyle="stop" operator="between" showDropDown="false" showErrorMessage="false" showInputMessage="false" sqref="G2:G39" type="list">
      <formula1>"Sim,Não"</formula1>
      <formula2>0</formula2>
    </dataValidation>
    <dataValidation allowBlank="true" errorStyle="stop" operator="between" showDropDown="false" showErrorMessage="false" showInputMessage="false" sqref="I2:I39" type="list">
      <formula1>"Sim,Parcial,Não"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9" t="s">
        <v>209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5.05" hidden="false" customHeight="false" outlineLevel="0" collapsed="false">
      <c r="A2" s="6" t="s">
        <v>210</v>
      </c>
      <c r="B2" s="6" t="s">
        <v>211</v>
      </c>
      <c r="C2" s="6" t="s">
        <v>212</v>
      </c>
      <c r="D2" s="6" t="s">
        <v>213</v>
      </c>
      <c r="E2" s="6" t="s">
        <v>214</v>
      </c>
      <c r="F2" s="6" t="s">
        <v>215</v>
      </c>
      <c r="G2" s="6" t="s">
        <v>216</v>
      </c>
      <c r="H2" s="6" t="s">
        <v>217</v>
      </c>
      <c r="I2" s="6" t="s">
        <v>218</v>
      </c>
      <c r="J2" s="6" t="s">
        <v>219</v>
      </c>
      <c r="K2" s="6" t="s">
        <v>220</v>
      </c>
      <c r="L2" s="6" t="s">
        <v>221</v>
      </c>
    </row>
    <row r="3" customFormat="false" ht="22.35" hidden="false" customHeight="false" outlineLevel="0" collapsed="false">
      <c r="A3" s="10" t="n">
        <v>1</v>
      </c>
      <c r="B3" s="10" t="s">
        <v>222</v>
      </c>
      <c r="C3" s="10" t="s">
        <v>223</v>
      </c>
      <c r="D3" s="10" t="n">
        <v>3</v>
      </c>
      <c r="E3" s="10" t="n">
        <v>5</v>
      </c>
      <c r="F3" s="11" t="n">
        <f aca="false">IF(AND(ISNUMBER(D3),ISNUMBER(E3)),D3*E3,"")</f>
        <v>15</v>
      </c>
      <c r="G3" s="11" t="str">
        <f aca="false">IF(F3="","",IF(F3&gt;=15,"Elevado",IF(F3&gt;=8,"Médio","Baixo")))</f>
        <v>Elevado</v>
      </c>
      <c r="H3" s="10" t="s">
        <v>224</v>
      </c>
      <c r="I3" s="10" t="s">
        <v>225</v>
      </c>
      <c r="J3" s="10" t="s">
        <v>226</v>
      </c>
      <c r="K3" s="10" t="s">
        <v>227</v>
      </c>
      <c r="L3" s="10" t="s">
        <v>228</v>
      </c>
    </row>
    <row r="4" customFormat="false" ht="15" hidden="false" customHeight="false" outlineLevel="0" collapsed="false">
      <c r="A4" s="12" t="n">
        <v>2</v>
      </c>
      <c r="B4" s="12"/>
      <c r="C4" s="12"/>
      <c r="D4" s="12"/>
      <c r="E4" s="12"/>
      <c r="F4" s="13" t="str">
        <f aca="false">IF(AND(ISNUMBER(D4),ISNUMBER(E4)),D4*E4,"")</f>
        <v/>
      </c>
      <c r="G4" s="13" t="str">
        <f aca="false">IF(F4="","",IF(F4&gt;=15,"Elevado",IF(F4&gt;=8,"Médio","Baixo")))</f>
        <v/>
      </c>
      <c r="H4" s="12"/>
      <c r="I4" s="12"/>
      <c r="J4" s="12"/>
      <c r="K4" s="12"/>
      <c r="L4" s="12"/>
    </row>
    <row r="5" customFormat="false" ht="15" hidden="false" customHeight="false" outlineLevel="0" collapsed="false">
      <c r="A5" s="12" t="n">
        <v>3</v>
      </c>
      <c r="B5" s="12"/>
      <c r="C5" s="12"/>
      <c r="D5" s="12"/>
      <c r="E5" s="12"/>
      <c r="F5" s="13" t="str">
        <f aca="false">IF(AND(ISNUMBER(D5),ISNUMBER(E5)),D5*E5,"")</f>
        <v/>
      </c>
      <c r="G5" s="13" t="str">
        <f aca="false">IF(F5="","",IF(F5&gt;=15,"Elevado",IF(F5&gt;=8,"Médio","Baixo")))</f>
        <v/>
      </c>
      <c r="H5" s="12"/>
      <c r="I5" s="12"/>
      <c r="J5" s="12"/>
      <c r="K5" s="12"/>
      <c r="L5" s="12"/>
    </row>
    <row r="6" customFormat="false" ht="15" hidden="false" customHeight="false" outlineLevel="0" collapsed="false">
      <c r="A6" s="12" t="n">
        <v>4</v>
      </c>
      <c r="B6" s="12"/>
      <c r="C6" s="12"/>
      <c r="D6" s="12"/>
      <c r="E6" s="12"/>
      <c r="F6" s="13" t="str">
        <f aca="false">IF(AND(ISNUMBER(D6),ISNUMBER(E6)),D6*E6,"")</f>
        <v/>
      </c>
      <c r="G6" s="13" t="str">
        <f aca="false">IF(F6="","",IF(F6&gt;=15,"Elevado",IF(F6&gt;=8,"Médio","Baixo")))</f>
        <v/>
      </c>
      <c r="H6" s="12"/>
      <c r="I6" s="12"/>
      <c r="J6" s="12"/>
      <c r="K6" s="12"/>
      <c r="L6" s="12"/>
    </row>
    <row r="7" customFormat="false" ht="15" hidden="false" customHeight="false" outlineLevel="0" collapsed="false">
      <c r="A7" s="12" t="n">
        <v>5</v>
      </c>
      <c r="B7" s="12"/>
      <c r="C7" s="12"/>
      <c r="D7" s="12"/>
      <c r="E7" s="12"/>
      <c r="F7" s="13" t="str">
        <f aca="false">IF(AND(ISNUMBER(D7),ISNUMBER(E7)),D7*E7,"")</f>
        <v/>
      </c>
      <c r="G7" s="13" t="str">
        <f aca="false">IF(F7="","",IF(F7&gt;=15,"Elevado",IF(F7&gt;=8,"Médio","Baixo")))</f>
        <v/>
      </c>
      <c r="H7" s="12"/>
      <c r="I7" s="12"/>
      <c r="J7" s="12"/>
      <c r="K7" s="12"/>
      <c r="L7" s="12"/>
    </row>
    <row r="8" customFormat="false" ht="15" hidden="false" customHeight="false" outlineLevel="0" collapsed="false">
      <c r="A8" s="12" t="n">
        <v>6</v>
      </c>
      <c r="B8" s="12"/>
      <c r="C8" s="12"/>
      <c r="D8" s="12"/>
      <c r="E8" s="12"/>
      <c r="F8" s="13" t="str">
        <f aca="false">IF(AND(ISNUMBER(D8),ISNUMBER(E8)),D8*E8,"")</f>
        <v/>
      </c>
      <c r="G8" s="13" t="str">
        <f aca="false">IF(F8="","",IF(F8&gt;=15,"Elevado",IF(F8&gt;=8,"Médio","Baixo")))</f>
        <v/>
      </c>
      <c r="H8" s="12"/>
      <c r="I8" s="12"/>
      <c r="J8" s="12"/>
      <c r="K8" s="12"/>
      <c r="L8" s="12"/>
    </row>
    <row r="9" customFormat="false" ht="15" hidden="false" customHeight="false" outlineLevel="0" collapsed="false">
      <c r="A9" s="12" t="n">
        <v>7</v>
      </c>
      <c r="B9" s="12"/>
      <c r="C9" s="12"/>
      <c r="D9" s="12"/>
      <c r="E9" s="12"/>
      <c r="F9" s="13" t="str">
        <f aca="false">IF(AND(ISNUMBER(D9),ISNUMBER(E9)),D9*E9,"")</f>
        <v/>
      </c>
      <c r="G9" s="13" t="str">
        <f aca="false">IF(F9="","",IF(F9&gt;=15,"Elevado",IF(F9&gt;=8,"Médio","Baixo")))</f>
        <v/>
      </c>
      <c r="H9" s="12"/>
      <c r="I9" s="12"/>
      <c r="J9" s="12"/>
      <c r="K9" s="12"/>
      <c r="L9" s="12"/>
    </row>
    <row r="10" customFormat="false" ht="15" hidden="false" customHeight="false" outlineLevel="0" collapsed="false">
      <c r="A10" s="12" t="n">
        <v>8</v>
      </c>
      <c r="B10" s="12"/>
      <c r="C10" s="12"/>
      <c r="D10" s="12"/>
      <c r="E10" s="12"/>
      <c r="F10" s="13" t="str">
        <f aca="false">IF(AND(ISNUMBER(D10),ISNUMBER(E10)),D10*E10,"")</f>
        <v/>
      </c>
      <c r="G10" s="13" t="str">
        <f aca="false">IF(F10="","",IF(F10&gt;=15,"Elevado",IF(F10&gt;=8,"Médio","Baixo")))</f>
        <v/>
      </c>
      <c r="H10" s="12"/>
      <c r="I10" s="12"/>
      <c r="J10" s="12"/>
      <c r="K10" s="12"/>
      <c r="L10" s="12"/>
    </row>
    <row r="11" customFormat="false" ht="15" hidden="false" customHeight="false" outlineLevel="0" collapsed="false">
      <c r="A11" s="12" t="n">
        <v>9</v>
      </c>
      <c r="B11" s="12"/>
      <c r="C11" s="12"/>
      <c r="D11" s="12"/>
      <c r="E11" s="12"/>
      <c r="F11" s="13" t="str">
        <f aca="false">IF(AND(ISNUMBER(D11),ISNUMBER(E11)),D11*E11,"")</f>
        <v/>
      </c>
      <c r="G11" s="13" t="str">
        <f aca="false">IF(F11="","",IF(F11&gt;=15,"Elevado",IF(F11&gt;=8,"Médio","Baixo")))</f>
        <v/>
      </c>
      <c r="H11" s="12"/>
      <c r="I11" s="12"/>
      <c r="J11" s="12"/>
      <c r="K11" s="12"/>
      <c r="L11" s="12"/>
    </row>
    <row r="12" customFormat="false" ht="15" hidden="false" customHeight="false" outlineLevel="0" collapsed="false">
      <c r="A12" s="12" t="n">
        <v>10</v>
      </c>
      <c r="B12" s="12"/>
      <c r="C12" s="12"/>
      <c r="D12" s="12"/>
      <c r="E12" s="12"/>
      <c r="F12" s="13" t="str">
        <f aca="false">IF(AND(ISNUMBER(D12),ISNUMBER(E12)),D12*E12,"")</f>
        <v/>
      </c>
      <c r="G12" s="13" t="str">
        <f aca="false">IF(F12="","",IF(F12&gt;=15,"Elevado",IF(F12&gt;=8,"Médio","Baixo")))</f>
        <v/>
      </c>
      <c r="H12" s="12"/>
      <c r="I12" s="12"/>
      <c r="J12" s="12"/>
      <c r="K12" s="12"/>
      <c r="L12" s="12"/>
    </row>
    <row r="13" customFormat="false" ht="15" hidden="false" customHeight="false" outlineLevel="0" collapsed="false">
      <c r="A13" s="12" t="n">
        <v>11</v>
      </c>
      <c r="B13" s="12"/>
      <c r="C13" s="12"/>
      <c r="D13" s="12"/>
      <c r="E13" s="12"/>
      <c r="F13" s="13" t="str">
        <f aca="false">IF(AND(ISNUMBER(D13),ISNUMBER(E13)),D13*E13,"")</f>
        <v/>
      </c>
      <c r="G13" s="13" t="str">
        <f aca="false">IF(F13="","",IF(F13&gt;=15,"Elevado",IF(F13&gt;=8,"Médio","Baixo")))</f>
        <v/>
      </c>
      <c r="H13" s="12"/>
      <c r="I13" s="12"/>
      <c r="J13" s="12"/>
      <c r="K13" s="12"/>
      <c r="L13" s="12"/>
    </row>
    <row r="14" customFormat="false" ht="15" hidden="false" customHeight="false" outlineLevel="0" collapsed="false">
      <c r="A14" s="12" t="n">
        <v>12</v>
      </c>
      <c r="B14" s="12"/>
      <c r="C14" s="12"/>
      <c r="D14" s="12"/>
      <c r="E14" s="12"/>
      <c r="F14" s="13" t="str">
        <f aca="false">IF(AND(ISNUMBER(D14),ISNUMBER(E14)),D14*E14,"")</f>
        <v/>
      </c>
      <c r="G14" s="13" t="str">
        <f aca="false">IF(F14="","",IF(F14&gt;=15,"Elevado",IF(F14&gt;=8,"Médio","Baixo")))</f>
        <v/>
      </c>
      <c r="H14" s="12"/>
      <c r="I14" s="12"/>
      <c r="J14" s="12"/>
      <c r="K14" s="12"/>
      <c r="L14" s="12"/>
    </row>
    <row r="15" customFormat="false" ht="15" hidden="false" customHeight="false" outlineLevel="0" collapsed="false">
      <c r="A15" s="12" t="n">
        <v>13</v>
      </c>
      <c r="B15" s="12"/>
      <c r="C15" s="12"/>
      <c r="D15" s="12"/>
      <c r="E15" s="12"/>
      <c r="F15" s="13" t="str">
        <f aca="false">IF(AND(ISNUMBER(D15),ISNUMBER(E15)),D15*E15,"")</f>
        <v/>
      </c>
      <c r="G15" s="13" t="str">
        <f aca="false">IF(F15="","",IF(F15&gt;=15,"Elevado",IF(F15&gt;=8,"Médio","Baixo")))</f>
        <v/>
      </c>
      <c r="H15" s="12"/>
      <c r="I15" s="12"/>
      <c r="J15" s="12"/>
      <c r="K15" s="12"/>
      <c r="L15" s="12"/>
    </row>
    <row r="16" customFormat="false" ht="15" hidden="false" customHeight="false" outlineLevel="0" collapsed="false">
      <c r="A16" s="12" t="n">
        <v>14</v>
      </c>
      <c r="B16" s="12"/>
      <c r="C16" s="12"/>
      <c r="D16" s="12"/>
      <c r="E16" s="12"/>
      <c r="F16" s="13" t="str">
        <f aca="false">IF(AND(ISNUMBER(D16),ISNUMBER(E16)),D16*E16,"")</f>
        <v/>
      </c>
      <c r="G16" s="13" t="str">
        <f aca="false">IF(F16="","",IF(F16&gt;=15,"Elevado",IF(F16&gt;=8,"Médio","Baixo")))</f>
        <v/>
      </c>
      <c r="H16" s="12"/>
      <c r="I16" s="12"/>
      <c r="J16" s="12"/>
      <c r="K16" s="12"/>
      <c r="L16" s="12"/>
    </row>
    <row r="17" customFormat="false" ht="15" hidden="false" customHeight="false" outlineLevel="0" collapsed="false">
      <c r="A17" s="12" t="n">
        <v>15</v>
      </c>
      <c r="B17" s="12"/>
      <c r="C17" s="12"/>
      <c r="D17" s="12"/>
      <c r="E17" s="12"/>
      <c r="F17" s="13" t="str">
        <f aca="false">IF(AND(ISNUMBER(D17),ISNUMBER(E17)),D17*E17,"")</f>
        <v/>
      </c>
      <c r="G17" s="13" t="str">
        <f aca="false">IF(F17="","",IF(F17&gt;=15,"Elevado",IF(F17&gt;=8,"Médio","Baixo")))</f>
        <v/>
      </c>
      <c r="H17" s="12"/>
      <c r="I17" s="12"/>
      <c r="J17" s="12"/>
      <c r="K17" s="12"/>
      <c r="L17" s="12"/>
    </row>
    <row r="18" customFormat="false" ht="15" hidden="false" customHeight="false" outlineLevel="0" collapsed="false">
      <c r="A18" s="12" t="n">
        <v>16</v>
      </c>
      <c r="B18" s="12"/>
      <c r="C18" s="12"/>
      <c r="D18" s="12"/>
      <c r="E18" s="12"/>
      <c r="F18" s="13" t="str">
        <f aca="false">IF(AND(ISNUMBER(D18),ISNUMBER(E18)),D18*E18,"")</f>
        <v/>
      </c>
      <c r="G18" s="13" t="str">
        <f aca="false">IF(F18="","",IF(F18&gt;=15,"Elevado",IF(F18&gt;=8,"Médio","Baixo")))</f>
        <v/>
      </c>
      <c r="H18" s="12"/>
      <c r="I18" s="12"/>
      <c r="J18" s="12"/>
      <c r="K18" s="12"/>
      <c r="L18" s="12"/>
    </row>
    <row r="19" customFormat="false" ht="15" hidden="false" customHeight="false" outlineLevel="0" collapsed="false">
      <c r="A19" s="12" t="n">
        <v>17</v>
      </c>
      <c r="B19" s="12"/>
      <c r="C19" s="12"/>
      <c r="D19" s="12"/>
      <c r="E19" s="12"/>
      <c r="F19" s="13" t="str">
        <f aca="false">IF(AND(ISNUMBER(D19),ISNUMBER(E19)),D19*E19,"")</f>
        <v/>
      </c>
      <c r="G19" s="13" t="str">
        <f aca="false">IF(F19="","",IF(F19&gt;=15,"Elevado",IF(F19&gt;=8,"Médio","Baixo")))</f>
        <v/>
      </c>
      <c r="H19" s="12"/>
      <c r="I19" s="12"/>
      <c r="J19" s="12"/>
      <c r="K19" s="12"/>
      <c r="L19" s="12"/>
    </row>
    <row r="20" customFormat="false" ht="15" hidden="false" customHeight="false" outlineLevel="0" collapsed="false">
      <c r="A20" s="12" t="n">
        <v>18</v>
      </c>
      <c r="B20" s="12"/>
      <c r="C20" s="12"/>
      <c r="D20" s="12"/>
      <c r="E20" s="12"/>
      <c r="F20" s="13" t="str">
        <f aca="false">IF(AND(ISNUMBER(D20),ISNUMBER(E20)),D20*E20,"")</f>
        <v/>
      </c>
      <c r="G20" s="13" t="str">
        <f aca="false">IF(F20="","",IF(F20&gt;=15,"Elevado",IF(F20&gt;=8,"Médio","Baixo")))</f>
        <v/>
      </c>
      <c r="H20" s="12"/>
      <c r="I20" s="12"/>
      <c r="J20" s="12"/>
      <c r="K20" s="12"/>
      <c r="L20" s="12"/>
    </row>
    <row r="21" customFormat="false" ht="15" hidden="false" customHeight="false" outlineLevel="0" collapsed="false">
      <c r="A21" s="12" t="n">
        <v>19</v>
      </c>
      <c r="B21" s="12"/>
      <c r="C21" s="12"/>
      <c r="D21" s="12"/>
      <c r="E21" s="12"/>
      <c r="F21" s="13" t="str">
        <f aca="false">IF(AND(ISNUMBER(D21),ISNUMBER(E21)),D21*E21,"")</f>
        <v/>
      </c>
      <c r="G21" s="13" t="str">
        <f aca="false">IF(F21="","",IF(F21&gt;=15,"Elevado",IF(F21&gt;=8,"Médio","Baixo")))</f>
        <v/>
      </c>
      <c r="H21" s="12"/>
      <c r="I21" s="12"/>
      <c r="J21" s="12"/>
      <c r="K21" s="12"/>
      <c r="L21" s="12"/>
    </row>
    <row r="22" customFormat="false" ht="15" hidden="false" customHeight="false" outlineLevel="0" collapsed="false">
      <c r="A22" s="12" t="n">
        <v>20</v>
      </c>
      <c r="B22" s="12"/>
      <c r="C22" s="12"/>
      <c r="D22" s="12"/>
      <c r="E22" s="12"/>
      <c r="F22" s="13" t="str">
        <f aca="false">IF(AND(ISNUMBER(D22),ISNUMBER(E22)),D22*E22,"")</f>
        <v/>
      </c>
      <c r="G22" s="13" t="str">
        <f aca="false">IF(F22="","",IF(F22&gt;=15,"Elevado",IF(F22&gt;=8,"Médio","Baixo")))</f>
        <v/>
      </c>
      <c r="H22" s="12"/>
      <c r="I22" s="12"/>
      <c r="J22" s="12"/>
      <c r="K22" s="12"/>
      <c r="L22" s="12"/>
    </row>
    <row r="23" customFormat="false" ht="15" hidden="false" customHeight="false" outlineLevel="0" collapsed="false">
      <c r="A23" s="12" t="n">
        <v>21</v>
      </c>
      <c r="B23" s="12"/>
      <c r="C23" s="12"/>
      <c r="D23" s="12"/>
      <c r="E23" s="12"/>
      <c r="F23" s="13" t="str">
        <f aca="false">IF(AND(ISNUMBER(D23),ISNUMBER(E23)),D23*E23,"")</f>
        <v/>
      </c>
      <c r="G23" s="13" t="str">
        <f aca="false">IF(F23="","",IF(F23&gt;=15,"Elevado",IF(F23&gt;=8,"Médio","Baixo")))</f>
        <v/>
      </c>
      <c r="H23" s="12"/>
      <c r="I23" s="12"/>
      <c r="J23" s="12"/>
      <c r="K23" s="12"/>
      <c r="L23" s="12"/>
    </row>
    <row r="24" customFormat="false" ht="15" hidden="false" customHeight="false" outlineLevel="0" collapsed="false">
      <c r="A24" s="12" t="n">
        <v>22</v>
      </c>
      <c r="B24" s="12"/>
      <c r="C24" s="12"/>
      <c r="D24" s="12"/>
      <c r="E24" s="12"/>
      <c r="F24" s="13" t="str">
        <f aca="false">IF(AND(ISNUMBER(D24),ISNUMBER(E24)),D24*E24,"")</f>
        <v/>
      </c>
      <c r="G24" s="13" t="str">
        <f aca="false">IF(F24="","",IF(F24&gt;=15,"Elevado",IF(F24&gt;=8,"Médio","Baixo")))</f>
        <v/>
      </c>
      <c r="H24" s="12"/>
      <c r="I24" s="12"/>
      <c r="J24" s="12"/>
      <c r="K24" s="12"/>
      <c r="L24" s="12"/>
    </row>
    <row r="25" customFormat="false" ht="15" hidden="false" customHeight="false" outlineLevel="0" collapsed="false">
      <c r="A25" s="12" t="n">
        <v>23</v>
      </c>
      <c r="B25" s="12"/>
      <c r="C25" s="12"/>
      <c r="D25" s="12"/>
      <c r="E25" s="12"/>
      <c r="F25" s="13" t="str">
        <f aca="false">IF(AND(ISNUMBER(D25),ISNUMBER(E25)),D25*E25,"")</f>
        <v/>
      </c>
      <c r="G25" s="13" t="str">
        <f aca="false">IF(F25="","",IF(F25&gt;=15,"Elevado",IF(F25&gt;=8,"Médio","Baixo")))</f>
        <v/>
      </c>
      <c r="H25" s="12"/>
      <c r="I25" s="12"/>
      <c r="J25" s="12"/>
      <c r="K25" s="12"/>
      <c r="L25" s="12"/>
    </row>
    <row r="26" customFormat="false" ht="15" hidden="false" customHeight="false" outlineLevel="0" collapsed="false">
      <c r="A26" s="12" t="n">
        <v>24</v>
      </c>
      <c r="B26" s="12"/>
      <c r="C26" s="12"/>
      <c r="D26" s="12"/>
      <c r="E26" s="12"/>
      <c r="F26" s="13" t="str">
        <f aca="false">IF(AND(ISNUMBER(D26),ISNUMBER(E26)),D26*E26,"")</f>
        <v/>
      </c>
      <c r="G26" s="13" t="str">
        <f aca="false">IF(F26="","",IF(F26&gt;=15,"Elevado",IF(F26&gt;=8,"Médio","Baixo")))</f>
        <v/>
      </c>
      <c r="H26" s="12"/>
      <c r="I26" s="12"/>
      <c r="J26" s="12"/>
      <c r="K26" s="12"/>
      <c r="L26" s="12"/>
    </row>
    <row r="27" customFormat="false" ht="15" hidden="false" customHeight="false" outlineLevel="0" collapsed="false">
      <c r="A27" s="12" t="n">
        <v>25</v>
      </c>
      <c r="B27" s="12"/>
      <c r="C27" s="12"/>
      <c r="D27" s="12"/>
      <c r="E27" s="12"/>
      <c r="F27" s="13" t="str">
        <f aca="false">IF(AND(ISNUMBER(D27),ISNUMBER(E27)),D27*E27,"")</f>
        <v/>
      </c>
      <c r="G27" s="13" t="str">
        <f aca="false">IF(F27="","",IF(F27&gt;=15,"Elevado",IF(F27&gt;=8,"Médio","Baixo")))</f>
        <v/>
      </c>
      <c r="H27" s="12"/>
      <c r="I27" s="12"/>
      <c r="J27" s="12"/>
      <c r="K27" s="12"/>
      <c r="L27" s="12"/>
    </row>
    <row r="28" customFormat="false" ht="15" hidden="false" customHeight="false" outlineLevel="0" collapsed="false">
      <c r="A28" s="12" t="n">
        <v>26</v>
      </c>
      <c r="B28" s="12"/>
      <c r="C28" s="12"/>
      <c r="D28" s="12"/>
      <c r="E28" s="12"/>
      <c r="F28" s="13" t="str">
        <f aca="false">IF(AND(ISNUMBER(D28),ISNUMBER(E28)),D28*E28,"")</f>
        <v/>
      </c>
      <c r="G28" s="13" t="str">
        <f aca="false">IF(F28="","",IF(F28&gt;=15,"Elevado",IF(F28&gt;=8,"Médio","Baixo")))</f>
        <v/>
      </c>
      <c r="H28" s="12"/>
      <c r="I28" s="12"/>
      <c r="J28" s="12"/>
      <c r="K28" s="12"/>
      <c r="L28" s="12"/>
    </row>
    <row r="29" customFormat="false" ht="15" hidden="false" customHeight="false" outlineLevel="0" collapsed="false">
      <c r="A29" s="12" t="n">
        <v>27</v>
      </c>
      <c r="B29" s="12"/>
      <c r="C29" s="12"/>
      <c r="D29" s="12"/>
      <c r="E29" s="12"/>
      <c r="F29" s="13" t="str">
        <f aca="false">IF(AND(ISNUMBER(D29),ISNUMBER(E29)),D29*E29,"")</f>
        <v/>
      </c>
      <c r="G29" s="13" t="str">
        <f aca="false">IF(F29="","",IF(F29&gt;=15,"Elevado",IF(F29&gt;=8,"Médio","Baixo")))</f>
        <v/>
      </c>
      <c r="H29" s="12"/>
      <c r="I29" s="12"/>
      <c r="J29" s="12"/>
      <c r="K29" s="12"/>
      <c r="L29" s="12"/>
    </row>
    <row r="30" customFormat="false" ht="15" hidden="false" customHeight="false" outlineLevel="0" collapsed="false">
      <c r="A30" s="12" t="n">
        <v>28</v>
      </c>
      <c r="B30" s="12"/>
      <c r="C30" s="12"/>
      <c r="D30" s="12"/>
      <c r="E30" s="12"/>
      <c r="F30" s="13" t="str">
        <f aca="false">IF(AND(ISNUMBER(D30),ISNUMBER(E30)),D30*E30,"")</f>
        <v/>
      </c>
      <c r="G30" s="13" t="str">
        <f aca="false">IF(F30="","",IF(F30&gt;=15,"Elevado",IF(F30&gt;=8,"Médio","Baixo")))</f>
        <v/>
      </c>
      <c r="H30" s="12"/>
      <c r="I30" s="12"/>
      <c r="J30" s="12"/>
      <c r="K30" s="12"/>
      <c r="L30" s="12"/>
    </row>
    <row r="31" customFormat="false" ht="15" hidden="false" customHeight="false" outlineLevel="0" collapsed="false">
      <c r="A31" s="12" t="n">
        <v>29</v>
      </c>
      <c r="B31" s="12"/>
      <c r="C31" s="12"/>
      <c r="D31" s="12"/>
      <c r="E31" s="12"/>
      <c r="F31" s="13" t="str">
        <f aca="false">IF(AND(ISNUMBER(D31),ISNUMBER(E31)),D31*E31,"")</f>
        <v/>
      </c>
      <c r="G31" s="13" t="str">
        <f aca="false">IF(F31="","",IF(F31&gt;=15,"Elevado",IF(F31&gt;=8,"Médio","Baixo")))</f>
        <v/>
      </c>
      <c r="H31" s="12"/>
      <c r="I31" s="12"/>
      <c r="J31" s="12"/>
      <c r="K31" s="12"/>
      <c r="L31" s="12"/>
    </row>
    <row r="32" customFormat="false" ht="15" hidden="false" customHeight="false" outlineLevel="0" collapsed="false">
      <c r="A32" s="12" t="n">
        <v>30</v>
      </c>
      <c r="B32" s="12"/>
      <c r="C32" s="12"/>
      <c r="D32" s="12"/>
      <c r="E32" s="12"/>
      <c r="F32" s="13" t="str">
        <f aca="false">IF(AND(ISNUMBER(D32),ISNUMBER(E32)),D32*E32,"")</f>
        <v/>
      </c>
      <c r="G32" s="13" t="str">
        <f aca="false">IF(F32="","",IF(F32&gt;=15,"Elevado",IF(F32&gt;=8,"Médio","Baixo")))</f>
        <v/>
      </c>
      <c r="H32" s="12"/>
      <c r="I32" s="12"/>
      <c r="J32" s="12"/>
      <c r="K32" s="12"/>
      <c r="L32" s="12"/>
    </row>
    <row r="33" customFormat="false" ht="15" hidden="false" customHeight="false" outlineLevel="0" collapsed="false">
      <c r="A33" s="12" t="n">
        <v>31</v>
      </c>
      <c r="B33" s="12"/>
      <c r="C33" s="12"/>
      <c r="D33" s="12"/>
      <c r="E33" s="12"/>
      <c r="F33" s="13" t="str">
        <f aca="false">IF(AND(ISNUMBER(D33),ISNUMBER(E33)),D33*E33,"")</f>
        <v/>
      </c>
      <c r="G33" s="13" t="str">
        <f aca="false">IF(F33="","",IF(F33&gt;=15,"Elevado",IF(F33&gt;=8,"Médio","Baixo")))</f>
        <v/>
      </c>
      <c r="H33" s="12"/>
      <c r="I33" s="12"/>
      <c r="J33" s="12"/>
      <c r="K33" s="12"/>
      <c r="L33" s="12"/>
    </row>
    <row r="34" customFormat="false" ht="15" hidden="false" customHeight="false" outlineLevel="0" collapsed="false">
      <c r="A34" s="12" t="n">
        <v>32</v>
      </c>
      <c r="B34" s="12"/>
      <c r="C34" s="12"/>
      <c r="D34" s="12"/>
      <c r="E34" s="12"/>
      <c r="F34" s="13" t="str">
        <f aca="false">IF(AND(ISNUMBER(D34),ISNUMBER(E34)),D34*E34,"")</f>
        <v/>
      </c>
      <c r="G34" s="13" t="str">
        <f aca="false">IF(F34="","",IF(F34&gt;=15,"Elevado",IF(F34&gt;=8,"Médio","Baixo")))</f>
        <v/>
      </c>
      <c r="H34" s="12"/>
      <c r="I34" s="12"/>
      <c r="J34" s="12"/>
      <c r="K34" s="12"/>
      <c r="L34" s="12"/>
    </row>
    <row r="35" customFormat="false" ht="15" hidden="false" customHeight="false" outlineLevel="0" collapsed="false">
      <c r="A35" s="12" t="n">
        <v>33</v>
      </c>
      <c r="B35" s="12"/>
      <c r="C35" s="12"/>
      <c r="D35" s="12"/>
      <c r="E35" s="12"/>
      <c r="F35" s="13" t="str">
        <f aca="false">IF(AND(ISNUMBER(D35),ISNUMBER(E35)),D35*E35,"")</f>
        <v/>
      </c>
      <c r="G35" s="13" t="str">
        <f aca="false">IF(F35="","",IF(F35&gt;=15,"Elevado",IF(F35&gt;=8,"Médio","Baixo")))</f>
        <v/>
      </c>
      <c r="H35" s="12"/>
      <c r="I35" s="12"/>
      <c r="J35" s="12"/>
      <c r="K35" s="12"/>
      <c r="L35" s="12"/>
    </row>
    <row r="36" customFormat="false" ht="15" hidden="false" customHeight="false" outlineLevel="0" collapsed="false">
      <c r="A36" s="12" t="n">
        <v>34</v>
      </c>
      <c r="B36" s="12"/>
      <c r="C36" s="12"/>
      <c r="D36" s="12"/>
      <c r="E36" s="12"/>
      <c r="F36" s="13" t="str">
        <f aca="false">IF(AND(ISNUMBER(D36),ISNUMBER(E36)),D36*E36,"")</f>
        <v/>
      </c>
      <c r="G36" s="13" t="str">
        <f aca="false">IF(F36="","",IF(F36&gt;=15,"Elevado",IF(F36&gt;=8,"Médio","Baixo")))</f>
        <v/>
      </c>
      <c r="H36" s="12"/>
      <c r="I36" s="12"/>
      <c r="J36" s="12"/>
      <c r="K36" s="12"/>
      <c r="L36" s="12"/>
    </row>
    <row r="37" customFormat="false" ht="15" hidden="false" customHeight="false" outlineLevel="0" collapsed="false">
      <c r="A37" s="12" t="n">
        <v>35</v>
      </c>
      <c r="B37" s="12"/>
      <c r="C37" s="12"/>
      <c r="D37" s="12"/>
      <c r="E37" s="12"/>
      <c r="F37" s="13" t="str">
        <f aca="false">IF(AND(ISNUMBER(D37),ISNUMBER(E37)),D37*E37,"")</f>
        <v/>
      </c>
      <c r="G37" s="13" t="str">
        <f aca="false">IF(F37="","",IF(F37&gt;=15,"Elevado",IF(F37&gt;=8,"Médio","Baixo")))</f>
        <v/>
      </c>
      <c r="H37" s="12"/>
      <c r="I37" s="12"/>
      <c r="J37" s="12"/>
      <c r="K37" s="12"/>
      <c r="L37" s="12"/>
    </row>
    <row r="38" customFormat="false" ht="15" hidden="false" customHeight="false" outlineLevel="0" collapsed="false">
      <c r="A38" s="12" t="n">
        <v>36</v>
      </c>
      <c r="B38" s="12"/>
      <c r="C38" s="12"/>
      <c r="D38" s="12"/>
      <c r="E38" s="12"/>
      <c r="F38" s="13" t="str">
        <f aca="false">IF(AND(ISNUMBER(D38),ISNUMBER(E38)),D38*E38,"")</f>
        <v/>
      </c>
      <c r="G38" s="13" t="str">
        <f aca="false">IF(F38="","",IF(F38&gt;=15,"Elevado",IF(F38&gt;=8,"Médio","Baixo")))</f>
        <v/>
      </c>
      <c r="H38" s="12"/>
      <c r="I38" s="12"/>
      <c r="J38" s="12"/>
      <c r="K38" s="12"/>
      <c r="L38" s="12"/>
    </row>
    <row r="39" customFormat="false" ht="15" hidden="false" customHeight="false" outlineLevel="0" collapsed="false">
      <c r="A39" s="12" t="n">
        <v>37</v>
      </c>
      <c r="B39" s="12"/>
      <c r="C39" s="12"/>
      <c r="D39" s="12"/>
      <c r="E39" s="12"/>
      <c r="F39" s="13" t="str">
        <f aca="false">IF(AND(ISNUMBER(D39),ISNUMBER(E39)),D39*E39,"")</f>
        <v/>
      </c>
      <c r="G39" s="13" t="str">
        <f aca="false">IF(F39="","",IF(F39&gt;=15,"Elevado",IF(F39&gt;=8,"Médio","Baixo")))</f>
        <v/>
      </c>
      <c r="H39" s="12"/>
      <c r="I39" s="12"/>
      <c r="J39" s="12"/>
      <c r="K39" s="12"/>
      <c r="L39" s="12"/>
    </row>
    <row r="40" customFormat="false" ht="15" hidden="false" customHeight="false" outlineLevel="0" collapsed="false">
      <c r="A40" s="12" t="n">
        <v>38</v>
      </c>
      <c r="B40" s="12"/>
      <c r="C40" s="12"/>
      <c r="D40" s="12"/>
      <c r="E40" s="12"/>
      <c r="F40" s="13" t="str">
        <f aca="false">IF(AND(ISNUMBER(D40),ISNUMBER(E40)),D40*E40,"")</f>
        <v/>
      </c>
      <c r="G40" s="13" t="str">
        <f aca="false">IF(F40="","",IF(F40&gt;=15,"Elevado",IF(F40&gt;=8,"Médio","Baixo")))</f>
        <v/>
      </c>
      <c r="H40" s="12"/>
      <c r="I40" s="12"/>
      <c r="J40" s="12"/>
      <c r="K40" s="12"/>
      <c r="L40" s="12"/>
    </row>
    <row r="41" customFormat="false" ht="15" hidden="false" customHeight="false" outlineLevel="0" collapsed="false">
      <c r="A41" s="12" t="n">
        <v>39</v>
      </c>
      <c r="B41" s="12"/>
      <c r="C41" s="12"/>
      <c r="D41" s="12"/>
      <c r="E41" s="12"/>
      <c r="F41" s="13" t="str">
        <f aca="false">IF(AND(ISNUMBER(D41),ISNUMBER(E41)),D41*E41,"")</f>
        <v/>
      </c>
      <c r="G41" s="13" t="str">
        <f aca="false">IF(F41="","",IF(F41&gt;=15,"Elevado",IF(F41&gt;=8,"Médio","Baixo")))</f>
        <v/>
      </c>
      <c r="H41" s="12"/>
      <c r="I41" s="12"/>
      <c r="J41" s="12"/>
      <c r="K41" s="12"/>
      <c r="L41" s="12"/>
    </row>
    <row r="42" customFormat="false" ht="15" hidden="false" customHeight="false" outlineLevel="0" collapsed="false">
      <c r="A42" s="12" t="n">
        <v>40</v>
      </c>
      <c r="B42" s="12"/>
      <c r="C42" s="12"/>
      <c r="D42" s="12"/>
      <c r="E42" s="12"/>
      <c r="F42" s="13" t="str">
        <f aca="false">IF(AND(ISNUMBER(D42),ISNUMBER(E42)),D42*E42,"")</f>
        <v/>
      </c>
      <c r="G42" s="13" t="str">
        <f aca="false">IF(F42="","",IF(F42&gt;=15,"Elevado",IF(F42&gt;=8,"Médio","Baixo")))</f>
        <v/>
      </c>
      <c r="H42" s="12"/>
      <c r="I42" s="12"/>
      <c r="J42" s="12"/>
      <c r="K42" s="12"/>
      <c r="L42" s="12"/>
    </row>
    <row r="43" customFormat="false" ht="15" hidden="false" customHeight="false" outlineLevel="0" collapsed="false">
      <c r="A43" s="12" t="n">
        <v>41</v>
      </c>
      <c r="B43" s="12"/>
      <c r="C43" s="12"/>
      <c r="D43" s="12"/>
      <c r="E43" s="12"/>
      <c r="F43" s="13" t="str">
        <f aca="false">IF(AND(ISNUMBER(D43),ISNUMBER(E43)),D43*E43,"")</f>
        <v/>
      </c>
      <c r="G43" s="13" t="str">
        <f aca="false">IF(F43="","",IF(F43&gt;=15,"Elevado",IF(F43&gt;=8,"Médio","Baixo")))</f>
        <v/>
      </c>
      <c r="H43" s="12"/>
      <c r="I43" s="12"/>
      <c r="J43" s="12"/>
      <c r="K43" s="12"/>
      <c r="L43" s="12"/>
    </row>
    <row r="44" customFormat="false" ht="15" hidden="false" customHeight="false" outlineLevel="0" collapsed="false">
      <c r="A44" s="12" t="n">
        <v>42</v>
      </c>
      <c r="B44" s="12"/>
      <c r="C44" s="12"/>
      <c r="D44" s="12"/>
      <c r="E44" s="12"/>
      <c r="F44" s="13" t="str">
        <f aca="false">IF(AND(ISNUMBER(D44),ISNUMBER(E44)),D44*E44,"")</f>
        <v/>
      </c>
      <c r="G44" s="13" t="str">
        <f aca="false">IF(F44="","",IF(F44&gt;=15,"Elevado",IF(F44&gt;=8,"Médio","Baixo")))</f>
        <v/>
      </c>
      <c r="H44" s="12"/>
      <c r="I44" s="12"/>
      <c r="J44" s="12"/>
      <c r="K44" s="12"/>
      <c r="L44" s="12"/>
    </row>
    <row r="45" customFormat="false" ht="15" hidden="false" customHeight="false" outlineLevel="0" collapsed="false">
      <c r="A45" s="12" t="n">
        <v>43</v>
      </c>
      <c r="B45" s="12"/>
      <c r="C45" s="12"/>
      <c r="D45" s="12"/>
      <c r="E45" s="12"/>
      <c r="F45" s="13" t="str">
        <f aca="false">IF(AND(ISNUMBER(D45),ISNUMBER(E45)),D45*E45,"")</f>
        <v/>
      </c>
      <c r="G45" s="13" t="str">
        <f aca="false">IF(F45="","",IF(F45&gt;=15,"Elevado",IF(F45&gt;=8,"Médio","Baixo")))</f>
        <v/>
      </c>
      <c r="H45" s="12"/>
      <c r="I45" s="12"/>
      <c r="J45" s="12"/>
      <c r="K45" s="12"/>
      <c r="L45" s="12"/>
    </row>
    <row r="46" customFormat="false" ht="15" hidden="false" customHeight="false" outlineLevel="0" collapsed="false">
      <c r="A46" s="12" t="n">
        <v>44</v>
      </c>
      <c r="B46" s="12"/>
      <c r="C46" s="12"/>
      <c r="D46" s="12"/>
      <c r="E46" s="12"/>
      <c r="F46" s="13" t="str">
        <f aca="false">IF(AND(ISNUMBER(D46),ISNUMBER(E46)),D46*E46,"")</f>
        <v/>
      </c>
      <c r="G46" s="13" t="str">
        <f aca="false">IF(F46="","",IF(F46&gt;=15,"Elevado",IF(F46&gt;=8,"Médio","Baixo")))</f>
        <v/>
      </c>
      <c r="H46" s="12"/>
      <c r="I46" s="12"/>
      <c r="J46" s="12"/>
      <c r="K46" s="12"/>
      <c r="L46" s="12"/>
    </row>
    <row r="47" customFormat="false" ht="15" hidden="false" customHeight="false" outlineLevel="0" collapsed="false">
      <c r="A47" s="12" t="n">
        <v>45</v>
      </c>
      <c r="B47" s="12"/>
      <c r="C47" s="12"/>
      <c r="D47" s="12"/>
      <c r="E47" s="12"/>
      <c r="F47" s="13" t="str">
        <f aca="false">IF(AND(ISNUMBER(D47),ISNUMBER(E47)),D47*E47,"")</f>
        <v/>
      </c>
      <c r="G47" s="13" t="str">
        <f aca="false">IF(F47="","",IF(F47&gt;=15,"Elevado",IF(F47&gt;=8,"Médio","Baixo")))</f>
        <v/>
      </c>
      <c r="H47" s="12"/>
      <c r="I47" s="12"/>
      <c r="J47" s="12"/>
      <c r="K47" s="12"/>
      <c r="L47" s="12"/>
    </row>
    <row r="48" customFormat="false" ht="15" hidden="false" customHeight="false" outlineLevel="0" collapsed="false">
      <c r="A48" s="12" t="n">
        <v>46</v>
      </c>
      <c r="B48" s="12"/>
      <c r="C48" s="12"/>
      <c r="D48" s="12"/>
      <c r="E48" s="12"/>
      <c r="F48" s="13" t="str">
        <f aca="false">IF(AND(ISNUMBER(D48),ISNUMBER(E48)),D48*E48,"")</f>
        <v/>
      </c>
      <c r="G48" s="13" t="str">
        <f aca="false">IF(F48="","",IF(F48&gt;=15,"Elevado",IF(F48&gt;=8,"Médio","Baixo")))</f>
        <v/>
      </c>
      <c r="H48" s="12"/>
      <c r="I48" s="12"/>
      <c r="J48" s="12"/>
      <c r="K48" s="12"/>
      <c r="L48" s="12"/>
    </row>
    <row r="49" customFormat="false" ht="15" hidden="false" customHeight="false" outlineLevel="0" collapsed="false">
      <c r="A49" s="12" t="n">
        <v>47</v>
      </c>
      <c r="B49" s="12"/>
      <c r="C49" s="12"/>
      <c r="D49" s="12"/>
      <c r="E49" s="12"/>
      <c r="F49" s="13" t="str">
        <f aca="false">IF(AND(ISNUMBER(D49),ISNUMBER(E49)),D49*E49,"")</f>
        <v/>
      </c>
      <c r="G49" s="13" t="str">
        <f aca="false">IF(F49="","",IF(F49&gt;=15,"Elevado",IF(F49&gt;=8,"Médio","Baixo")))</f>
        <v/>
      </c>
      <c r="H49" s="12"/>
      <c r="I49" s="12"/>
      <c r="J49" s="12"/>
      <c r="K49" s="12"/>
      <c r="L49" s="12"/>
    </row>
    <row r="50" customFormat="false" ht="15" hidden="false" customHeight="false" outlineLevel="0" collapsed="false">
      <c r="A50" s="12" t="n">
        <v>48</v>
      </c>
      <c r="B50" s="12"/>
      <c r="C50" s="12"/>
      <c r="D50" s="12"/>
      <c r="E50" s="12"/>
      <c r="F50" s="13" t="str">
        <f aca="false">IF(AND(ISNUMBER(D50),ISNUMBER(E50)),D50*E50,"")</f>
        <v/>
      </c>
      <c r="G50" s="13" t="str">
        <f aca="false">IF(F50="","",IF(F50&gt;=15,"Elevado",IF(F50&gt;=8,"Médio","Baixo")))</f>
        <v/>
      </c>
      <c r="H50" s="12"/>
      <c r="I50" s="12"/>
      <c r="J50" s="12"/>
      <c r="K50" s="12"/>
      <c r="L50" s="12"/>
    </row>
    <row r="51" customFormat="false" ht="15" hidden="false" customHeight="false" outlineLevel="0" collapsed="false">
      <c r="A51" s="12" t="n">
        <v>49</v>
      </c>
      <c r="B51" s="12"/>
      <c r="C51" s="12"/>
      <c r="D51" s="12"/>
      <c r="E51" s="12"/>
      <c r="F51" s="13" t="str">
        <f aca="false">IF(AND(ISNUMBER(D51),ISNUMBER(E51)),D51*E51,"")</f>
        <v/>
      </c>
      <c r="G51" s="13" t="str">
        <f aca="false">IF(F51="","",IF(F51&gt;=15,"Elevado",IF(F51&gt;=8,"Médio","Baixo")))</f>
        <v/>
      </c>
      <c r="H51" s="12"/>
      <c r="I51" s="12"/>
      <c r="J51" s="12"/>
      <c r="K51" s="12"/>
      <c r="L51" s="12"/>
    </row>
    <row r="52" customFormat="false" ht="15" hidden="false" customHeight="false" outlineLevel="0" collapsed="false">
      <c r="A52" s="12" t="n">
        <v>50</v>
      </c>
      <c r="B52" s="12"/>
      <c r="C52" s="12"/>
      <c r="D52" s="12"/>
      <c r="E52" s="12"/>
      <c r="F52" s="13" t="str">
        <f aca="false">IF(AND(ISNUMBER(D52),ISNUMBER(E52)),D52*E52,"")</f>
        <v/>
      </c>
      <c r="G52" s="13" t="str">
        <f aca="false">IF(F52="","",IF(F52&gt;=15,"Elevado",IF(F52&gt;=8,"Médio","Baixo")))</f>
        <v/>
      </c>
      <c r="H52" s="12"/>
      <c r="I52" s="12"/>
      <c r="J52" s="12"/>
      <c r="K52" s="12"/>
      <c r="L52" s="12"/>
    </row>
  </sheetData>
  <autoFilter ref="A2:L3"/>
  <mergeCells count="1">
    <mergeCell ref="A1:L1"/>
  </mergeCells>
  <dataValidations count="2">
    <dataValidation allowBlank="true" errorStyle="stop" operator="between" showDropDown="false" showErrorMessage="false" showInputMessage="false" sqref="H3:H200" type="list">
      <formula1>"Reduzir,Evitar,Transferir,Aceitar"</formula1>
      <formula2>0</formula2>
    </dataValidation>
    <dataValidation allowBlank="true" errorStyle="stop" operator="between" showDropDown="false" showErrorMessage="false" showInputMessage="false" sqref="D3:E2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229</v>
      </c>
      <c r="B1" s="6" t="s">
        <v>12</v>
      </c>
      <c r="C1" s="6" t="s">
        <v>230</v>
      </c>
      <c r="D1" s="6" t="s">
        <v>231</v>
      </c>
      <c r="E1" s="6" t="s">
        <v>232</v>
      </c>
    </row>
    <row r="2" customFormat="false" ht="15" hidden="false" customHeight="false" outlineLevel="0" collapsed="false">
      <c r="A2" s="7" t="s">
        <v>233</v>
      </c>
      <c r="B2" s="7" t="s">
        <v>234</v>
      </c>
      <c r="C2" s="8"/>
      <c r="D2" s="8"/>
      <c r="E2" s="8"/>
    </row>
    <row r="3" customFormat="false" ht="15" hidden="false" customHeight="false" outlineLevel="0" collapsed="false">
      <c r="A3" s="7" t="s">
        <v>235</v>
      </c>
      <c r="B3" s="7" t="s">
        <v>24</v>
      </c>
      <c r="C3" s="8"/>
      <c r="D3" s="8"/>
      <c r="E3" s="8"/>
    </row>
    <row r="4" customFormat="false" ht="15" hidden="false" customHeight="false" outlineLevel="0" collapsed="false">
      <c r="A4" s="7" t="s">
        <v>236</v>
      </c>
      <c r="B4" s="7" t="s">
        <v>237</v>
      </c>
      <c r="C4" s="8"/>
      <c r="D4" s="8"/>
      <c r="E4" s="8"/>
    </row>
    <row r="5" customFormat="false" ht="15" hidden="false" customHeight="false" outlineLevel="0" collapsed="false">
      <c r="A5" s="7" t="s">
        <v>238</v>
      </c>
      <c r="B5" s="7" t="s">
        <v>239</v>
      </c>
      <c r="C5" s="8"/>
      <c r="D5" s="8"/>
      <c r="E5" s="8"/>
    </row>
    <row r="6" customFormat="false" ht="15" hidden="false" customHeight="false" outlineLevel="0" collapsed="false">
      <c r="A6" s="7" t="s">
        <v>240</v>
      </c>
      <c r="B6" s="7" t="s">
        <v>241</v>
      </c>
      <c r="C6" s="8"/>
      <c r="D6" s="8"/>
      <c r="E6" s="8"/>
    </row>
    <row r="7" customFormat="false" ht="15" hidden="false" customHeight="false" outlineLevel="0" collapsed="false">
      <c r="A7" s="7" t="s">
        <v>242</v>
      </c>
      <c r="B7" s="7" t="s">
        <v>243</v>
      </c>
      <c r="C7" s="8"/>
      <c r="D7" s="8"/>
      <c r="E7" s="8"/>
    </row>
    <row r="8" customFormat="false" ht="15" hidden="false" customHeight="false" outlineLevel="0" collapsed="false">
      <c r="A8" s="7" t="s">
        <v>244</v>
      </c>
      <c r="B8" s="7" t="s">
        <v>245</v>
      </c>
      <c r="C8" s="8"/>
      <c r="D8" s="8"/>
      <c r="E8" s="8"/>
    </row>
    <row r="9" customFormat="false" ht="15" hidden="false" customHeight="false" outlineLevel="0" collapsed="false">
      <c r="A9" s="7" t="s">
        <v>246</v>
      </c>
      <c r="B9" s="7" t="s">
        <v>247</v>
      </c>
      <c r="C9" s="8"/>
      <c r="D9" s="8"/>
      <c r="E9" s="8"/>
    </row>
    <row r="10" customFormat="false" ht="15" hidden="false" customHeight="false" outlineLevel="0" collapsed="false">
      <c r="A10" s="7" t="s">
        <v>248</v>
      </c>
      <c r="B10" s="7" t="s">
        <v>249</v>
      </c>
      <c r="C10" s="8"/>
      <c r="D10" s="8"/>
      <c r="E10" s="8"/>
    </row>
    <row r="11" customFormat="false" ht="15" hidden="false" customHeight="false" outlineLevel="0" collapsed="false">
      <c r="A11" s="7" t="s">
        <v>250</v>
      </c>
      <c r="B11" s="7" t="s">
        <v>251</v>
      </c>
      <c r="C11" s="8"/>
      <c r="D11" s="8"/>
      <c r="E11" s="8"/>
    </row>
    <row r="12" customFormat="false" ht="15" hidden="false" customHeight="false" outlineLevel="0" collapsed="false">
      <c r="A12" s="7" t="s">
        <v>252</v>
      </c>
      <c r="B12" s="7" t="s">
        <v>253</v>
      </c>
      <c r="C12" s="8"/>
      <c r="D12" s="8"/>
      <c r="E12" s="8"/>
    </row>
    <row r="13" customFormat="false" ht="15" hidden="false" customHeight="false" outlineLevel="0" collapsed="false">
      <c r="A13" s="7" t="s">
        <v>254</v>
      </c>
      <c r="B13" s="7" t="s">
        <v>255</v>
      </c>
      <c r="C13" s="8"/>
      <c r="D13" s="8"/>
      <c r="E13" s="8"/>
    </row>
    <row r="14" customFormat="false" ht="15" hidden="false" customHeight="false" outlineLevel="0" collapsed="false">
      <c r="A14" s="7" t="s">
        <v>256</v>
      </c>
      <c r="B14" s="7" t="s">
        <v>257</v>
      </c>
      <c r="C14" s="8"/>
      <c r="D14" s="8"/>
      <c r="E14" s="8"/>
    </row>
    <row r="15" customFormat="false" ht="15" hidden="false" customHeight="false" outlineLevel="0" collapsed="false">
      <c r="A15" s="7" t="s">
        <v>258</v>
      </c>
      <c r="B15" s="7" t="s">
        <v>259</v>
      </c>
      <c r="C15" s="8"/>
      <c r="D15" s="8"/>
      <c r="E15" s="8"/>
    </row>
    <row r="16" customFormat="false" ht="15" hidden="false" customHeight="false" outlineLevel="0" collapsed="false">
      <c r="A16" s="7" t="s">
        <v>260</v>
      </c>
      <c r="B16" s="7" t="s">
        <v>261</v>
      </c>
      <c r="C16" s="8"/>
      <c r="D16" s="8"/>
      <c r="E16" s="8"/>
    </row>
    <row r="17" customFormat="false" ht="15" hidden="false" customHeight="false" outlineLevel="0" collapsed="false">
      <c r="A17" s="7" t="s">
        <v>262</v>
      </c>
      <c r="B17" s="7" t="s">
        <v>263</v>
      </c>
      <c r="C17" s="8"/>
      <c r="D17" s="8"/>
      <c r="E17" s="8"/>
    </row>
    <row r="18" customFormat="false" ht="15" hidden="false" customHeight="false" outlineLevel="0" collapsed="false">
      <c r="A18" s="7" t="s">
        <v>264</v>
      </c>
      <c r="B18" s="7" t="s">
        <v>265</v>
      </c>
      <c r="C18" s="8"/>
      <c r="D18" s="8"/>
      <c r="E18" s="8"/>
    </row>
  </sheetData>
  <autoFilter ref="A1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9" t="s">
        <v>266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3.85" hidden="false" customHeight="false" outlineLevel="0" collapsed="false">
      <c r="A2" s="6" t="s">
        <v>267</v>
      </c>
      <c r="B2" s="6" t="s">
        <v>268</v>
      </c>
      <c r="C2" s="6" t="s">
        <v>269</v>
      </c>
      <c r="D2" s="6" t="s">
        <v>270</v>
      </c>
      <c r="E2" s="6" t="s">
        <v>271</v>
      </c>
      <c r="F2" s="6" t="s">
        <v>272</v>
      </c>
      <c r="G2" s="6" t="s">
        <v>273</v>
      </c>
      <c r="H2" s="6" t="s">
        <v>274</v>
      </c>
      <c r="I2" s="6" t="s">
        <v>219</v>
      </c>
      <c r="J2" s="6" t="s">
        <v>275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</sheetData>
  <autoFilter ref="A2:J27"/>
  <mergeCells count="1">
    <mergeCell ref="A1:J1"/>
  </mergeCells>
  <dataValidations count="1">
    <dataValidation allowBlank="true" errorStyle="stop" operator="between" showDropDown="false" showErrorMessage="false" showInputMessage="false" sqref="J3:J202" type="list">
      <formula1>"Não iniciado,Em curso,Implementado,Não aplicável"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3.85" hidden="false" customHeight="false" outlineLevel="0" collapsed="false">
      <c r="A1" s="6" t="s">
        <v>276</v>
      </c>
      <c r="B1" s="6" t="s">
        <v>277</v>
      </c>
      <c r="C1" s="6" t="s">
        <v>278</v>
      </c>
      <c r="D1" s="6" t="s">
        <v>14</v>
      </c>
      <c r="E1" s="6" t="s">
        <v>279</v>
      </c>
      <c r="F1" s="6" t="s">
        <v>280</v>
      </c>
    </row>
    <row r="2" customFormat="false" ht="22.35" hidden="false" customHeight="false" outlineLevel="0" collapsed="false">
      <c r="A2" s="7" t="s">
        <v>281</v>
      </c>
      <c r="B2" s="7" t="s">
        <v>282</v>
      </c>
      <c r="C2" s="7" t="s">
        <v>283</v>
      </c>
      <c r="D2" s="7" t="s">
        <v>284</v>
      </c>
      <c r="E2" s="8"/>
      <c r="F2" s="8"/>
    </row>
    <row r="3" customFormat="false" ht="22.35" hidden="false" customHeight="false" outlineLevel="0" collapsed="false">
      <c r="A3" s="7" t="s">
        <v>281</v>
      </c>
      <c r="B3" s="7" t="s">
        <v>285</v>
      </c>
      <c r="C3" s="7" t="s">
        <v>286</v>
      </c>
      <c r="D3" s="7" t="s">
        <v>287</v>
      </c>
      <c r="E3" s="8"/>
      <c r="F3" s="8"/>
    </row>
    <row r="4" customFormat="false" ht="22.35" hidden="false" customHeight="false" outlineLevel="0" collapsed="false">
      <c r="A4" s="7" t="s">
        <v>281</v>
      </c>
      <c r="B4" s="7" t="s">
        <v>288</v>
      </c>
      <c r="C4" s="7" t="s">
        <v>289</v>
      </c>
      <c r="D4" s="7" t="s">
        <v>290</v>
      </c>
      <c r="E4" s="8"/>
      <c r="F4" s="8"/>
    </row>
    <row r="5" customFormat="false" ht="15" hidden="false" customHeight="false" outlineLevel="0" collapsed="false">
      <c r="A5" s="7" t="s">
        <v>281</v>
      </c>
      <c r="B5" s="7" t="s">
        <v>291</v>
      </c>
      <c r="C5" s="7" t="s">
        <v>292</v>
      </c>
      <c r="D5" s="7" t="s">
        <v>293</v>
      </c>
      <c r="E5" s="8"/>
      <c r="F5" s="8"/>
    </row>
    <row r="6" customFormat="false" ht="22.35" hidden="false" customHeight="false" outlineLevel="0" collapsed="false">
      <c r="A6" s="7" t="s">
        <v>281</v>
      </c>
      <c r="B6" s="7" t="s">
        <v>294</v>
      </c>
      <c r="C6" s="7" t="s">
        <v>295</v>
      </c>
      <c r="D6" s="7" t="s">
        <v>296</v>
      </c>
      <c r="E6" s="8"/>
      <c r="F6" s="8"/>
    </row>
    <row r="7" customFormat="false" ht="15" hidden="false" customHeight="false" outlineLevel="0" collapsed="false">
      <c r="A7" s="7" t="s">
        <v>281</v>
      </c>
      <c r="B7" s="7" t="s">
        <v>297</v>
      </c>
      <c r="C7" s="7" t="s">
        <v>298</v>
      </c>
      <c r="D7" s="7" t="s">
        <v>299</v>
      </c>
      <c r="E7" s="8"/>
      <c r="F7" s="8"/>
    </row>
    <row r="8" customFormat="false" ht="15" hidden="false" customHeight="false" outlineLevel="0" collapsed="false">
      <c r="A8" s="7" t="s">
        <v>281</v>
      </c>
      <c r="B8" s="7" t="s">
        <v>300</v>
      </c>
      <c r="C8" s="7" t="s">
        <v>301</v>
      </c>
      <c r="D8" s="7" t="s">
        <v>302</v>
      </c>
      <c r="E8" s="8"/>
      <c r="F8" s="8"/>
    </row>
    <row r="9" customFormat="false" ht="22.35" hidden="false" customHeight="false" outlineLevel="0" collapsed="false">
      <c r="A9" s="7" t="s">
        <v>281</v>
      </c>
      <c r="B9" s="7" t="s">
        <v>303</v>
      </c>
      <c r="C9" s="7" t="s">
        <v>304</v>
      </c>
      <c r="D9" s="7" t="s">
        <v>305</v>
      </c>
      <c r="E9" s="8"/>
      <c r="F9" s="8"/>
    </row>
    <row r="10" customFormat="false" ht="15" hidden="false" customHeight="false" outlineLevel="0" collapsed="false">
      <c r="A10" s="7" t="s">
        <v>281</v>
      </c>
      <c r="B10" s="7" t="s">
        <v>306</v>
      </c>
      <c r="C10" s="7" t="s">
        <v>307</v>
      </c>
      <c r="D10" s="7" t="s">
        <v>308</v>
      </c>
      <c r="E10" s="8"/>
      <c r="F10" s="8"/>
    </row>
    <row r="11" customFormat="false" ht="15" hidden="false" customHeight="false" outlineLevel="0" collapsed="false">
      <c r="A11" s="7" t="s">
        <v>281</v>
      </c>
      <c r="B11" s="7" t="s">
        <v>309</v>
      </c>
      <c r="C11" s="7" t="s">
        <v>310</v>
      </c>
      <c r="D11" s="7" t="s">
        <v>311</v>
      </c>
      <c r="E11" s="8"/>
      <c r="F11" s="8"/>
    </row>
    <row r="12" customFormat="false" ht="22.35" hidden="false" customHeight="false" outlineLevel="0" collapsed="false">
      <c r="A12" s="7" t="s">
        <v>281</v>
      </c>
      <c r="B12" s="7" t="s">
        <v>312</v>
      </c>
      <c r="C12" s="7" t="s">
        <v>313</v>
      </c>
      <c r="D12" s="7" t="s">
        <v>314</v>
      </c>
      <c r="E12" s="8"/>
      <c r="F12" s="8"/>
    </row>
    <row r="13" customFormat="false" ht="15" hidden="false" customHeight="false" outlineLevel="0" collapsed="false">
      <c r="A13" s="7" t="s">
        <v>315</v>
      </c>
      <c r="B13" s="7" t="s">
        <v>316</v>
      </c>
      <c r="C13" s="7" t="s">
        <v>317</v>
      </c>
      <c r="D13" s="7" t="s">
        <v>318</v>
      </c>
      <c r="E13" s="8"/>
      <c r="F13" s="8"/>
    </row>
    <row r="14" customFormat="false" ht="15" hidden="false" customHeight="false" outlineLevel="0" collapsed="false">
      <c r="A14" s="7" t="s">
        <v>315</v>
      </c>
      <c r="B14" s="7" t="s">
        <v>319</v>
      </c>
      <c r="C14" s="7" t="s">
        <v>320</v>
      </c>
      <c r="D14" s="7" t="s">
        <v>321</v>
      </c>
      <c r="E14" s="8"/>
      <c r="F14" s="8"/>
    </row>
    <row r="15" customFormat="false" ht="15" hidden="false" customHeight="false" outlineLevel="0" collapsed="false">
      <c r="A15" s="7" t="s">
        <v>315</v>
      </c>
      <c r="B15" s="7" t="s">
        <v>322</v>
      </c>
      <c r="C15" s="7" t="s">
        <v>273</v>
      </c>
      <c r="D15" s="7" t="s">
        <v>323</v>
      </c>
      <c r="E15" s="8"/>
      <c r="F15" s="8"/>
    </row>
    <row r="16" customFormat="false" ht="22.35" hidden="false" customHeight="false" outlineLevel="0" collapsed="false">
      <c r="A16" s="7" t="s">
        <v>315</v>
      </c>
      <c r="B16" s="7" t="s">
        <v>324</v>
      </c>
      <c r="C16" s="7" t="s">
        <v>325</v>
      </c>
      <c r="D16" s="7" t="s">
        <v>326</v>
      </c>
      <c r="E16" s="8"/>
      <c r="F16" s="8"/>
    </row>
    <row r="17" customFormat="false" ht="15" hidden="false" customHeight="false" outlineLevel="0" collapsed="false">
      <c r="A17" s="7" t="s">
        <v>315</v>
      </c>
      <c r="B17" s="7" t="s">
        <v>327</v>
      </c>
      <c r="C17" s="7" t="s">
        <v>328</v>
      </c>
      <c r="D17" s="7" t="s">
        <v>329</v>
      </c>
      <c r="E17" s="8"/>
      <c r="F17" s="8"/>
    </row>
    <row r="18" customFormat="false" ht="15" hidden="false" customHeight="false" outlineLevel="0" collapsed="false">
      <c r="A18" s="7" t="s">
        <v>315</v>
      </c>
      <c r="B18" s="7" t="s">
        <v>330</v>
      </c>
      <c r="C18" s="7" t="s">
        <v>331</v>
      </c>
      <c r="D18" s="7" t="s">
        <v>332</v>
      </c>
      <c r="E18" s="8"/>
      <c r="F18" s="8"/>
    </row>
    <row r="19" customFormat="false" ht="22.35" hidden="false" customHeight="false" outlineLevel="0" collapsed="false">
      <c r="A19" s="7" t="s">
        <v>315</v>
      </c>
      <c r="B19" s="7" t="s">
        <v>333</v>
      </c>
      <c r="C19" s="7" t="s">
        <v>334</v>
      </c>
      <c r="D19" s="7" t="s">
        <v>335</v>
      </c>
      <c r="E19" s="8"/>
      <c r="F19" s="8"/>
    </row>
  </sheetData>
  <autoFilter ref="A1:F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2026-10-27T00:53:25Z</dcterms:created>
  <dc:creator>openpyxl</dc:creator>
  <dc:description/>
  <dc:language>en-US</dc:language>
  <cp:lastModifiedBy/>
  <dcterms:modified xsi:type="dcterms:W3CDTF">2026-10-27T00:53:26Z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